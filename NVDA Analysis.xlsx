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" sheetId="1" r:id="rId4"/>
    <sheet state="visible" name="CashFlow" sheetId="2" r:id="rId5"/>
    <sheet state="visible" name="WACC" sheetId="3" r:id="rId6"/>
    <sheet state="visible" name="DCF" sheetId="4" r:id="rId7"/>
    <sheet state="visible" name="PE" sheetId="5" r:id="rId8"/>
    <sheet state="visible" name="GPU MARKET" sheetId="6" r:id="rId9"/>
  </sheets>
  <definedNames/>
  <calcPr/>
  <extLst>
    <ext uri="GoogleSheetsCustomDataVersion2">
      <go:sheetsCustomData xmlns:go="http://customooxmlschemas.google.com/" r:id="rId10" roundtripDataChecksum="pHfzgdLnWlRDmuQvsQ5jbm3/x8+xJjYoW5h9w9N5ml8="/>
    </ext>
  </extLst>
</workbook>
</file>

<file path=xl/sharedStrings.xml><?xml version="1.0" encoding="utf-8"?>
<sst xmlns="http://schemas.openxmlformats.org/spreadsheetml/2006/main" count="315" uniqueCount="222">
  <si>
    <t>NVDA</t>
  </si>
  <si>
    <t>FY</t>
  </si>
  <si>
    <t>Millions</t>
  </si>
  <si>
    <t>2027E</t>
  </si>
  <si>
    <t>2026E</t>
  </si>
  <si>
    <t>2025E</t>
  </si>
  <si>
    <t>Sales &amp; Revenues:</t>
  </si>
  <si>
    <t xml:space="preserve">  Revenue</t>
  </si>
  <si>
    <t xml:space="preserve">  Cost of revenue</t>
  </si>
  <si>
    <t xml:space="preserve">  Gross profit</t>
  </si>
  <si>
    <t>Operating Costs</t>
  </si>
  <si>
    <t xml:space="preserve">  Research and development</t>
  </si>
  <si>
    <t xml:space="preserve">  Sales, general and administrative</t>
  </si>
  <si>
    <t xml:space="preserve">  Restructuring and other charges</t>
  </si>
  <si>
    <t xml:space="preserve">  Acquisition termination cost</t>
  </si>
  <si>
    <t xml:space="preserve">  Total Operating Costs</t>
  </si>
  <si>
    <t>Operating Profit</t>
  </si>
  <si>
    <t xml:space="preserve">  Interest income</t>
  </si>
  <si>
    <t xml:space="preserve">  Interest expense</t>
  </si>
  <si>
    <t xml:space="preserve">  Other, net</t>
  </si>
  <si>
    <t xml:space="preserve">  Other income (expense), net</t>
  </si>
  <si>
    <t>Consolidated profit before taxes</t>
  </si>
  <si>
    <t xml:space="preserve">  Income tax expense (benefit)</t>
  </si>
  <si>
    <t xml:space="preserve">  Net income</t>
  </si>
  <si>
    <t>EPS</t>
  </si>
  <si>
    <t xml:space="preserve">  Profit/share-basic</t>
  </si>
  <si>
    <t xml:space="preserve">  Profit/share-diluted</t>
  </si>
  <si>
    <t xml:space="preserve">  Consensus</t>
  </si>
  <si>
    <t>Wtd avg shs (mill)</t>
  </si>
  <si>
    <t xml:space="preserve">  Basic</t>
  </si>
  <si>
    <t xml:space="preserve">  Diluted</t>
  </si>
  <si>
    <t xml:space="preserve">   %change from prior year (buyback)</t>
  </si>
  <si>
    <t xml:space="preserve">  DIV/share</t>
  </si>
  <si>
    <t>avg</t>
  </si>
  <si>
    <t>Revenue</t>
  </si>
  <si>
    <t>Expenses as % of Revenue</t>
  </si>
  <si>
    <t xml:space="preserve">  Gross Margin</t>
  </si>
  <si>
    <t>Operating Margin</t>
  </si>
  <si>
    <t>%Change y/y Change (Trends)</t>
  </si>
  <si>
    <t>Tax Rate</t>
  </si>
  <si>
    <t>D&amp;A</t>
  </si>
  <si>
    <t>% of Sales</t>
  </si>
  <si>
    <t>CapEx (Purchases related to property and equipment and intangible assets)</t>
  </si>
  <si>
    <t>Receivables</t>
  </si>
  <si>
    <t>Inventory</t>
  </si>
  <si>
    <t>Payables</t>
  </si>
  <si>
    <t>Change in WC</t>
  </si>
  <si>
    <t>Cash flows from operating activities:</t>
  </si>
  <si>
    <t> </t>
  </si>
  <si>
    <t>Net income</t>
  </si>
  <si>
    <t>Adjustments to reconcile net income to net cash provided by operating activities:</t>
  </si>
  <si>
    <t>Stock-based compensation expense</t>
  </si>
  <si>
    <t>Depreciation and amortization</t>
  </si>
  <si>
    <t>Deferred income taxes</t>
  </si>
  <si>
    <t>(Gains) losses on investments in non-affiliated entities, net</t>
  </si>
  <si>
    <t>Acquisition termination cost</t>
  </si>
  <si>
    <t>Other</t>
  </si>
  <si>
    <t>Changes in operating assets and liabilities, net of acquisitions:</t>
  </si>
  <si>
    <t>Accounts receivable</t>
  </si>
  <si>
    <t>Inventories</t>
  </si>
  <si>
    <t>Prepaid expenses and other assets</t>
  </si>
  <si>
    <t>Accounts payable</t>
  </si>
  <si>
    <t>Accrued and other current liabilities</t>
  </si>
  <si>
    <t>Other long-term liabilities</t>
  </si>
  <si>
    <t>Net cash provided by operating activities</t>
  </si>
  <si>
    <t>Cash flows from investing activities:</t>
  </si>
  <si>
    <t>Proceeds from maturities of marketable securities</t>
  </si>
  <si>
    <t>Proceeds from sales of marketable securities</t>
  </si>
  <si>
    <t>Purchases of marketable securities</t>
  </si>
  <si>
    <t>Purchases related to property and equipment and intangible assets</t>
  </si>
  <si>
    <t>Acquisitions, net of cash acquired</t>
  </si>
  <si>
    <t>Investments in non-affiliated entities and other, net</t>
  </si>
  <si>
    <t>Net cash provided by (used in) investing activities</t>
  </si>
  <si>
    <t>Cash flows from financing activities:</t>
  </si>
  <si>
    <t>Proceeds from issuance of debt</t>
  </si>
  <si>
    <t>Proceeds related to employee stock plans</t>
  </si>
  <si>
    <t>Payments related to repurchases of common stock</t>
  </si>
  <si>
    <t>Payments related to tax on restricted stock units</t>
  </si>
  <si>
    <t>Repayment of debt</t>
  </si>
  <si>
    <t>Dividends paid</t>
  </si>
  <si>
    <t>Principal payments on property and equipment and intangible assets</t>
  </si>
  <si>
    <t>Issuance of debt, net of issuance costs</t>
  </si>
  <si>
    <t>Net cash provided by (used in) financing activities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</si>
  <si>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</si>
  <si>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</si>
  <si>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</si>
  <si>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</si>
  <si>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income taxes, net</t>
  </si>
  <si>
    <t>Cash paid for interest</t>
  </si>
  <si>
    <t>Non-cash investing and financing activity:</t>
  </si>
  <si>
    <t>Assets acquired by assuming related liabilities</t>
  </si>
  <si>
    <t>10-year avg</t>
  </si>
  <si>
    <t>Free Cash Flow</t>
  </si>
  <si>
    <t xml:space="preserve">  YoY % Growth</t>
  </si>
  <si>
    <t>Debt:</t>
  </si>
  <si>
    <t>Cost of Debt:</t>
  </si>
  <si>
    <t>Equity:</t>
  </si>
  <si>
    <t>Beta:</t>
  </si>
  <si>
    <t>rf:</t>
  </si>
  <si>
    <t>Equity Risk Premium:</t>
  </si>
  <si>
    <t>CAPM Cost of Capital:</t>
  </si>
  <si>
    <t>Tax Rate:</t>
  </si>
  <si>
    <t>WACC:</t>
  </si>
  <si>
    <t>Nvidia (NVDA)</t>
  </si>
  <si>
    <t>Current P/E</t>
  </si>
  <si>
    <t>Analyst: Jacob Geiger</t>
  </si>
  <si>
    <t>Terminal Discount Rate =</t>
  </si>
  <si>
    <t>WACC =</t>
  </si>
  <si>
    <t>Date: 2/22/2025</t>
  </si>
  <si>
    <t>Terminal FCF Growth =</t>
  </si>
  <si>
    <t>Implied P/E=</t>
  </si>
  <si>
    <t>Year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</si>
  <si>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</si>
  <si>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</si>
  <si>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</si>
  <si>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</si>
  <si>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</si>
  <si>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</si>
  <si>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</si>
  <si>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</si>
  <si>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 xml:space="preserve">  % Growth</t>
  </si>
  <si>
    <t xml:space="preserve">  Operating Margin</t>
  </si>
  <si>
    <t>Interest and Other</t>
  </si>
  <si>
    <t xml:space="preserve">  Interest % of Sales</t>
  </si>
  <si>
    <t>Income Before Taxes</t>
  </si>
  <si>
    <t>Taxes</t>
  </si>
  <si>
    <t xml:space="preserve">  Tax Rate</t>
  </si>
  <si>
    <t>Net Income</t>
  </si>
  <si>
    <t>Add Depreciation/Amort</t>
  </si>
  <si>
    <t xml:space="preserve">  % of Sales</t>
  </si>
  <si>
    <t>Plus/(minus) Changes WC</t>
  </si>
  <si>
    <t>Cap Ex</t>
  </si>
  <si>
    <t xml:space="preserve">  Capex % of sales</t>
  </si>
  <si>
    <t>NPV of Cash Flows</t>
  </si>
  <si>
    <t>NPV of terminal value</t>
  </si>
  <si>
    <t>Terminal Value</t>
  </si>
  <si>
    <t>Projected Equity Value</t>
  </si>
  <si>
    <t>Free Cash Flow Yield</t>
  </si>
  <si>
    <t>Free Cash Yield</t>
  </si>
  <si>
    <t>Terminal P/E</t>
  </si>
  <si>
    <t xml:space="preserve">  Projected P/E</t>
  </si>
  <si>
    <t>Current EV/EBITDA</t>
  </si>
  <si>
    <t>Terminal EV/EBITDA</t>
  </si>
  <si>
    <t xml:space="preserve">  Projected EV/EBITDA</t>
  </si>
  <si>
    <t>Shares Outstanding</t>
  </si>
  <si>
    <t>Current Price</t>
  </si>
  <si>
    <t>Implied equity value/share</t>
  </si>
  <si>
    <t xml:space="preserve">Upside/(Downside) to DCF </t>
  </si>
  <si>
    <t>Debt</t>
  </si>
  <si>
    <t>Cash</t>
  </si>
  <si>
    <t xml:space="preserve">  Cash/share</t>
  </si>
  <si>
    <t>Ratio Comparison:</t>
  </si>
  <si>
    <t>NAME</t>
  </si>
  <si>
    <t>Ticker</t>
  </si>
  <si>
    <t>P/E</t>
  </si>
  <si>
    <t>P/S</t>
  </si>
  <si>
    <t>P/B</t>
  </si>
  <si>
    <t>P/CF</t>
  </si>
  <si>
    <t>EV/EBITDA TTM</t>
  </si>
  <si>
    <t>MKT CAP</t>
  </si>
  <si>
    <t>AVERAGE</t>
  </si>
  <si>
    <t>NVIDIA Corporation</t>
  </si>
  <si>
    <t>3.412T</t>
  </si>
  <si>
    <t>AMD</t>
  </si>
  <si>
    <t>180.36B</t>
  </si>
  <si>
    <t>Intel Corporation</t>
  </si>
  <si>
    <t>INTC</t>
  </si>
  <si>
    <t>-</t>
  </si>
  <si>
    <t>118.599B</t>
  </si>
  <si>
    <t>Qualcomm</t>
  </si>
  <si>
    <t>QCOM</t>
  </si>
  <si>
    <t>192.046B</t>
  </si>
  <si>
    <t>Broadcom Inc.</t>
  </si>
  <si>
    <t>AVGO</t>
  </si>
  <si>
    <t>1.071T</t>
  </si>
  <si>
    <t>Cisco Systems, Inc.</t>
  </si>
  <si>
    <t>CSCO</t>
  </si>
  <si>
    <t>257.246B</t>
  </si>
  <si>
    <t>Juniper Networks, Inc.</t>
  </si>
  <si>
    <t>JNPR</t>
  </si>
  <si>
    <t>11.972B</t>
  </si>
  <si>
    <t>Valuation By Multiples</t>
  </si>
  <si>
    <t>Current stock price:</t>
  </si>
  <si>
    <t>ABSOLUTE VALUATION</t>
  </si>
  <si>
    <t>CURRENT</t>
  </si>
  <si>
    <t>TARGET MULTIPLE</t>
  </si>
  <si>
    <t>TARGET/CURRENT</t>
  </si>
  <si>
    <t>TARGET PRICE</t>
  </si>
  <si>
    <t>Multiple</t>
  </si>
  <si>
    <t>Current (% of Current)</t>
  </si>
  <si>
    <t>Average</t>
  </si>
  <si>
    <t>DCF Sensitivity Analysis</t>
  </si>
  <si>
    <t>Discount Rate</t>
  </si>
  <si>
    <t>Term Growth Rate</t>
  </si>
  <si>
    <t>Implied P/E</t>
  </si>
  <si>
    <t>Target Value</t>
  </si>
  <si>
    <t>Upside/Downside %</t>
  </si>
  <si>
    <t>12.00% Discount</t>
  </si>
  <si>
    <t>12.25% Discount</t>
  </si>
  <si>
    <t>31.00% Growth</t>
  </si>
  <si>
    <t>Market P/E:</t>
  </si>
  <si>
    <t>ABSOLUTE BASIS</t>
  </si>
  <si>
    <t>HIGH</t>
  </si>
  <si>
    <t>LOW</t>
  </si>
  <si>
    <t>MEDIAN</t>
  </si>
  <si>
    <t>TARGET RATIO</t>
  </si>
  <si>
    <t>IMPLIED ADJ</t>
  </si>
  <si>
    <t>ANALYSIS FINAL TARGET PRICE</t>
  </si>
  <si>
    <t>MKT P/E TARGET RATIO</t>
  </si>
  <si>
    <t>MKT ADJ. TARGET PRICE</t>
  </si>
  <si>
    <t>MKT ADJ. UPSIDE/DOWNSIDE</t>
  </si>
  <si>
    <t>MKT ADJ. WEIGHT</t>
  </si>
  <si>
    <t>FINAL TARGET PRICE:</t>
  </si>
  <si>
    <t>FINAL UPSIDE/DOWNSIDE:</t>
  </si>
  <si>
    <t>Final Rating:</t>
  </si>
  <si>
    <t>BUY</t>
  </si>
  <si>
    <t>Company</t>
  </si>
  <si>
    <t>Q3 FY2023 Revenue (USD Bn)</t>
  </si>
  <si>
    <t>Q3 FY2024 Revenue (USD Bn)</t>
  </si>
  <si>
    <t>Q3 FY2023 Revenue (%)</t>
  </si>
  <si>
    <t>Q3 FY2024 Revenue (%)</t>
  </si>
  <si>
    <t>NVIDIA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</si>
</sst>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?_);_(@_)"/>
    <numFmt numFmtId="167" formatCode="0.0%"/>
    <numFmt numFmtId="168" formatCode="&quot;$&quot;#,##0.0000"/>
    <numFmt numFmtId="169" formatCode="#,##0.00;(#,##0.00)"/>
    <numFmt numFmtId="170" formatCode="_(&quot;$ &quot;#,##0_);_(&quot;$ &quot;(#,##0)"/>
    <numFmt numFmtId="171" formatCode="0.0"/>
    <numFmt numFmtId="172" formatCode="_(&quot;$&quot;* #,##0.00_);_(&quot;$&quot;* \(#,##0.00\);_(&quot;$&quot;* &quot;-&quot;??_);_(@_)"/>
    <numFmt numFmtId="173" formatCode="&quot;$&quot;#,##0.00"/>
    <numFmt numFmtId="174" formatCode="0.000"/>
  </numFmts>
  <fonts count="4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rgb="FF0000FF"/>
      <name val="Arial"/>
    </font>
    <font>
      <b/>
      <u/>
      <sz val="10.0"/>
      <color rgb="FF0000FF"/>
      <name val="Arial"/>
    </font>
    <font>
      <b/>
      <color theme="1"/>
      <name val="Arial"/>
      <scheme val="minor"/>
    </font>
    <font>
      <i/>
      <sz val="10.0"/>
      <color rgb="FFFF0000"/>
      <name val="Arial"/>
    </font>
    <font>
      <b/>
      <i/>
      <sz val="10.0"/>
      <color rgb="FFFF0000"/>
      <name val="Arial"/>
    </font>
    <font>
      <b/>
      <sz val="10.0"/>
      <color rgb="FFFF0000"/>
      <name val="Arial"/>
    </font>
    <font>
      <sz val="11.0"/>
      <color theme="1"/>
      <name val="Calibri"/>
    </font>
    <font>
      <b/>
      <sz val="10.0"/>
      <color rgb="FF00B050"/>
      <name val="Arial"/>
    </font>
    <font>
      <b/>
      <sz val="10.0"/>
      <color rgb="FF339966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i/>
      <sz val="10.0"/>
      <color rgb="FF0000FF"/>
      <name val="Arial"/>
    </font>
    <font>
      <sz val="10.0"/>
      <color rgb="FFC0C0C0"/>
      <name val="Arial"/>
    </font>
    <font>
      <b/>
      <u/>
      <sz val="10.0"/>
      <color theme="1"/>
      <name val="Arial"/>
    </font>
    <font>
      <sz val="8.0"/>
      <color theme="1"/>
      <name val="Arial"/>
    </font>
    <font>
      <sz val="8.0"/>
      <color rgb="FF0000FF"/>
      <name val="Arial"/>
    </font>
    <font>
      <i/>
      <sz val="10.0"/>
      <color theme="1"/>
      <name val="Arial"/>
    </font>
    <font>
      <sz val="10.0"/>
      <color rgb="FF0000FF"/>
      <name val="Arial"/>
    </font>
    <font>
      <b/>
      <u/>
      <sz val="10.0"/>
      <color theme="1"/>
      <name val="Arial"/>
    </font>
    <font>
      <i/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i/>
      <color theme="1"/>
      <name val="Arial"/>
    </font>
    <font>
      <i/>
      <color theme="1"/>
      <name val="Arial"/>
    </font>
    <font>
      <color rgb="FF38761D"/>
      <name val="Arial"/>
    </font>
    <font>
      <b/>
      <sz val="12.0"/>
      <color rgb="FF000000"/>
      <name val="Arial"/>
    </font>
    <font>
      <color rgb="FF274E13"/>
      <name val="Arial"/>
    </font>
    <font>
      <b/>
      <color rgb="FF38761D"/>
      <name val="Arial"/>
    </font>
    <font>
      <color rgb="FF000000"/>
      <name val="Arial"/>
    </font>
    <font>
      <sz val="12.0"/>
      <color rgb="FF274E13"/>
      <name val="Arial"/>
    </font>
    <font>
      <b/>
      <sz val="12.0"/>
      <color rgb="FF38761D"/>
      <name val="Arial"/>
    </font>
    <font>
      <sz val="12.0"/>
      <color rgb="FF38761D"/>
      <name val="Arial"/>
    </font>
    <font>
      <b/>
      <sz val="12.0"/>
      <color rgb="FF274E13"/>
      <name val="Arial"/>
    </font>
    <font>
      <b/>
      <sz val="12.0"/>
      <color theme="1"/>
      <name val="Arial"/>
      <scheme val="minor"/>
    </font>
    <font>
      <sz val="13.0"/>
      <color rgb="FF000000"/>
      <name val="&quot;Times New Roman&quot;"/>
    </font>
    <font>
      <b/>
      <sz val="13.0"/>
      <color rgb="FF000000"/>
      <name val="&quot;Times New Roman&quot;"/>
    </font>
  </fonts>
  <fills count="10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8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3" numFmtId="164" xfId="0" applyFont="1" applyNumberFormat="1"/>
    <xf borderId="0" fillId="0" fontId="4" numFmtId="164" xfId="0" applyAlignment="1" applyFont="1" applyNumberFormat="1">
      <alignment readingOrder="0"/>
    </xf>
    <xf borderId="0" fillId="0" fontId="5" numFmtId="164" xfId="0" applyFont="1" applyNumberFormat="1"/>
    <xf borderId="0" fillId="0" fontId="2" numFmtId="0" xfId="0" applyAlignment="1" applyFont="1">
      <alignment readingOrder="0"/>
    </xf>
    <xf borderId="0" fillId="0" fontId="6" numFmtId="164" xfId="0" applyFont="1" applyNumberFormat="1"/>
    <xf borderId="0" fillId="0" fontId="2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8" numFmtId="0" xfId="0" applyFont="1"/>
    <xf borderId="0" fillId="0" fontId="9" numFmtId="165" xfId="0" applyAlignment="1" applyFont="1" applyNumberFormat="1">
      <alignment readingOrder="0"/>
    </xf>
    <xf borderId="0" fillId="0" fontId="9" numFmtId="165" xfId="0" applyFont="1" applyNumberFormat="1"/>
    <xf borderId="0" fillId="0" fontId="10" numFmtId="165" xfId="0" applyFont="1" applyNumberFormat="1"/>
    <xf borderId="0" fillId="0" fontId="1" numFmtId="166" xfId="0" applyAlignment="1" applyFont="1" applyNumberFormat="1">
      <alignment readingOrder="0"/>
    </xf>
    <xf borderId="1" fillId="0" fontId="11" numFmtId="0" xfId="0" applyAlignment="1" applyBorder="1" applyFont="1">
      <alignment readingOrder="0" shrinkToFit="0" vertical="top" wrapText="1"/>
    </xf>
    <xf borderId="0" fillId="0" fontId="12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167" xfId="0" applyFont="1" applyNumberFormat="1"/>
    <xf borderId="0" fillId="0" fontId="12" numFmtId="168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13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10" xfId="0" applyFont="1" applyNumberFormat="1"/>
    <xf borderId="0" fillId="0" fontId="14" numFmtId="0" xfId="0" applyAlignment="1" applyFont="1">
      <alignment readingOrder="0"/>
    </xf>
    <xf borderId="0" fillId="0" fontId="2" numFmtId="169" xfId="0" applyFont="1" applyNumberFormat="1"/>
    <xf borderId="2" fillId="0" fontId="1" numFmtId="0" xfId="0" applyBorder="1" applyFont="1"/>
    <xf borderId="2" fillId="0" fontId="2" numFmtId="169" xfId="0" applyBorder="1" applyFont="1" applyNumberFormat="1"/>
    <xf borderId="0" fillId="0" fontId="7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3" numFmtId="167" xfId="0" applyAlignment="1" applyFont="1" applyNumberFormat="1">
      <alignment readingOrder="0"/>
    </xf>
    <xf borderId="0" fillId="0" fontId="16" numFmtId="167" xfId="0" applyAlignment="1" applyFont="1" applyNumberFormat="1">
      <alignment horizontal="right" vertical="bottom"/>
    </xf>
    <xf borderId="0" fillId="0" fontId="15" numFmtId="10" xfId="0" applyAlignment="1" applyFont="1" applyNumberFormat="1">
      <alignment vertical="bottom"/>
    </xf>
    <xf borderId="0" fillId="0" fontId="15" numFmtId="167" xfId="0" applyAlignment="1" applyFont="1" applyNumberFormat="1">
      <alignment vertical="bottom"/>
    </xf>
    <xf borderId="0" fillId="0" fontId="16" numFmtId="169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vertical="bottom"/>
    </xf>
    <xf borderId="0" fillId="0" fontId="16" numFmtId="164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0" fillId="0" fontId="13" numFmtId="10" xfId="0" applyFont="1" applyNumberFormat="1"/>
    <xf borderId="0" fillId="0" fontId="17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0" fontId="11" numFmtId="0" xfId="0" applyAlignment="1" applyFont="1">
      <alignment vertical="bottom"/>
    </xf>
    <xf borderId="0" fillId="0" fontId="11" numFmtId="0" xfId="0" applyAlignment="1" applyFont="1">
      <alignment shrinkToFit="0" vertical="top" wrapText="1"/>
    </xf>
    <xf borderId="0" fillId="0" fontId="11" numFmtId="170" xfId="0" applyAlignment="1" applyFont="1" applyNumberFormat="1">
      <alignment horizontal="right" vertical="top"/>
    </xf>
    <xf borderId="0" fillId="0" fontId="17" numFmtId="0" xfId="0" applyAlignment="1" applyFont="1">
      <alignment shrinkToFit="0" vertical="top" wrapText="1"/>
    </xf>
    <xf borderId="0" fillId="0" fontId="11" numFmtId="170" xfId="0" applyAlignment="1" applyFont="1" applyNumberFormat="1">
      <alignment shrinkToFit="0" vertical="top" wrapText="1"/>
    </xf>
    <xf borderId="0" fillId="0" fontId="11" numFmtId="0" xfId="0" applyAlignment="1" applyFont="1">
      <alignment vertical="bottom"/>
    </xf>
    <xf borderId="0" fillId="0" fontId="11" numFmtId="37" xfId="0" applyAlignment="1" applyFont="1" applyNumberFormat="1">
      <alignment horizontal="right" vertical="top"/>
    </xf>
    <xf borderId="0" fillId="2" fontId="11" numFmtId="37" xfId="0" applyAlignment="1" applyFill="1" applyFont="1" applyNumberFormat="1">
      <alignment horizontal="right" vertical="top"/>
    </xf>
    <xf borderId="0" fillId="3" fontId="11" numFmtId="37" xfId="0" applyAlignment="1" applyFill="1" applyFont="1" applyNumberFormat="1">
      <alignment horizontal="right" vertical="top"/>
    </xf>
    <xf borderId="0" fillId="0" fontId="11" numFmtId="37" xfId="0" applyAlignment="1" applyFont="1" applyNumberFormat="1">
      <alignment horizontal="right" readingOrder="0" vertical="top"/>
    </xf>
    <xf borderId="0" fillId="0" fontId="2" numFmtId="0" xfId="0" applyAlignment="1" applyFont="1">
      <alignment shrinkToFit="0" vertical="top" wrapText="1"/>
    </xf>
    <xf borderId="0" fillId="0" fontId="7" numFmtId="37" xfId="0" applyFont="1" applyNumberFormat="1"/>
    <xf borderId="0" fillId="4" fontId="2" numFmtId="10" xfId="0" applyFill="1" applyFont="1" applyNumberFormat="1"/>
    <xf borderId="3" fillId="0" fontId="2" numFmtId="0" xfId="0" applyAlignment="1" applyBorder="1" applyFont="1">
      <alignment readingOrder="0"/>
    </xf>
    <xf borderId="3" fillId="5" fontId="2" numFmtId="37" xfId="0" applyAlignment="1" applyBorder="1" applyFill="1" applyFont="1" applyNumberFormat="1">
      <alignment horizontal="right" vertical="top"/>
    </xf>
    <xf borderId="3" fillId="5" fontId="2" numFmtId="10" xfId="0" applyAlignment="1" applyBorder="1" applyFont="1" applyNumberFormat="1">
      <alignment horizontal="right" readingOrder="0" vertical="top"/>
    </xf>
    <xf borderId="3" fillId="5" fontId="2" numFmtId="37" xfId="0" applyAlignment="1" applyBorder="1" applyFont="1" applyNumberFormat="1">
      <alignment horizontal="right" readingOrder="0" vertical="top"/>
    </xf>
    <xf borderId="3" fillId="5" fontId="2" numFmtId="4" xfId="0" applyAlignment="1" applyBorder="1" applyFont="1" applyNumberFormat="1">
      <alignment readingOrder="0"/>
    </xf>
    <xf borderId="0" fillId="0" fontId="2" numFmtId="9" xfId="0" applyAlignment="1" applyFont="1" applyNumberFormat="1">
      <alignment readingOrder="0"/>
    </xf>
    <xf borderId="3" fillId="5" fontId="2" numFmtId="10" xfId="0" applyAlignment="1" applyBorder="1" applyFont="1" applyNumberFormat="1">
      <alignment readingOrder="0"/>
    </xf>
    <xf borderId="3" fillId="5" fontId="2" numFmtId="10" xfId="0" applyBorder="1" applyFont="1" applyNumberFormat="1"/>
    <xf borderId="3" fillId="6" fontId="2" numFmtId="10" xfId="0" applyBorder="1" applyFill="1" applyFont="1" applyNumberFormat="1"/>
    <xf borderId="3" fillId="0" fontId="7" numFmtId="0" xfId="0" applyAlignment="1" applyBorder="1" applyFont="1">
      <alignment readingOrder="0"/>
    </xf>
    <xf borderId="3" fillId="2" fontId="2" numFmtId="10" xfId="0" applyBorder="1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4" numFmtId="0" xfId="0" applyFont="1"/>
    <xf borderId="0" fillId="0" fontId="1" numFmtId="0" xfId="0" applyAlignment="1" applyFont="1">
      <alignment horizontal="right"/>
    </xf>
    <xf borderId="4" fillId="7" fontId="18" numFmtId="4" xfId="0" applyAlignment="1" applyBorder="1" applyFill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14" numFmtId="0" xfId="0" applyAlignment="1" applyFont="1">
      <alignment horizontal="center"/>
    </xf>
    <xf borderId="0" fillId="0" fontId="19" numFmtId="0" xfId="0" applyFont="1"/>
    <xf borderId="4" fillId="7" fontId="18" numFmtId="10" xfId="0" applyAlignment="1" applyBorder="1" applyFont="1" applyNumberFormat="1">
      <alignment readingOrder="0"/>
    </xf>
    <xf borderId="4" fillId="7" fontId="18" numFmtId="10" xfId="0" applyBorder="1" applyFont="1" applyNumberFormat="1"/>
    <xf borderId="4" fillId="7" fontId="18" numFmtId="171" xfId="0" applyAlignment="1" applyBorder="1" applyFont="1" applyNumberFormat="1">
      <alignment readingOrder="0"/>
    </xf>
    <xf borderId="0" fillId="0" fontId="1" numFmtId="14" xfId="0" applyAlignment="1" applyFont="1" applyNumberForma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horizontal="right" readingOrder="0"/>
    </xf>
    <xf borderId="0" fillId="0" fontId="20" numFmtId="0" xfId="0" applyAlignment="1" applyFont="1">
      <alignment horizontal="center"/>
    </xf>
    <xf borderId="0" fillId="0" fontId="14" numFmtId="164" xfId="0" applyFont="1" applyNumberFormat="1"/>
    <xf borderId="0" fillId="0" fontId="21" numFmtId="10" xfId="0" applyFont="1" applyNumberFormat="1"/>
    <xf borderId="0" fillId="0" fontId="21" numFmtId="167" xfId="0" applyFont="1" applyNumberFormat="1"/>
    <xf borderId="4" fillId="7" fontId="22" numFmtId="167" xfId="0" applyAlignment="1" applyBorder="1" applyFont="1" applyNumberFormat="1">
      <alignment readingOrder="0"/>
    </xf>
    <xf borderId="0" fillId="0" fontId="23" numFmtId="0" xfId="0" applyFont="1"/>
    <xf borderId="0" fillId="0" fontId="15" numFmtId="164" xfId="0" applyAlignment="1" applyFont="1" applyNumberFormat="1">
      <alignment horizontal="right" vertical="bottom"/>
    </xf>
    <xf borderId="0" fillId="0" fontId="21" numFmtId="0" xfId="0" applyFont="1"/>
    <xf borderId="4" fillId="7" fontId="22" numFmtId="167" xfId="0" applyBorder="1" applyFont="1" applyNumberFormat="1"/>
    <xf borderId="0" fillId="0" fontId="22" numFmtId="167" xfId="0" applyFont="1" applyNumberFormat="1"/>
    <xf borderId="0" fillId="0" fontId="24" numFmtId="164" xfId="0" applyFont="1" applyNumberFormat="1"/>
    <xf borderId="0" fillId="0" fontId="25" numFmtId="164" xfId="0" applyAlignment="1" applyFont="1" applyNumberFormat="1">
      <alignment horizontal="center"/>
    </xf>
    <xf borderId="5" fillId="0" fontId="1" numFmtId="164" xfId="0" applyBorder="1" applyFont="1" applyNumberFormat="1"/>
    <xf borderId="0" fillId="0" fontId="21" numFmtId="9" xfId="0" applyFont="1" applyNumberFormat="1"/>
    <xf borderId="0" fillId="0" fontId="1" numFmtId="37" xfId="0" applyFont="1" applyNumberFormat="1"/>
    <xf borderId="0" fillId="0" fontId="14" numFmtId="9" xfId="0" applyFont="1" applyNumberFormat="1"/>
    <xf borderId="0" fillId="0" fontId="14" numFmtId="37" xfId="0" applyFont="1" applyNumberFormat="1"/>
    <xf borderId="0" fillId="0" fontId="15" numFmtId="37" xfId="0" applyAlignment="1" applyFont="1" applyNumberFormat="1">
      <alignment horizontal="right" vertical="bottom"/>
    </xf>
    <xf borderId="2" fillId="0" fontId="23" numFmtId="0" xfId="0" applyBorder="1" applyFont="1"/>
    <xf borderId="2" fillId="0" fontId="26" numFmtId="10" xfId="0" applyBorder="1" applyFont="1" applyNumberFormat="1"/>
    <xf borderId="5" fillId="0" fontId="1" numFmtId="37" xfId="0" applyBorder="1" applyFont="1" applyNumberFormat="1"/>
    <xf borderId="2" fillId="0" fontId="1" numFmtId="0" xfId="0" applyAlignment="1" applyBorder="1" applyFont="1">
      <alignment horizontal="left"/>
    </xf>
    <xf borderId="2" fillId="0" fontId="1" numFmtId="164" xfId="0" applyBorder="1" applyFont="1" applyNumberFormat="1"/>
    <xf borderId="2" fillId="0" fontId="14" numFmtId="9" xfId="0" applyBorder="1" applyFont="1" applyNumberFormat="1"/>
    <xf borderId="0" fillId="0" fontId="1" numFmtId="164" xfId="0" applyAlignment="1" applyFont="1" applyNumberFormat="1">
      <alignment horizontal="right"/>
    </xf>
    <xf borderId="0" fillId="0" fontId="14" numFmtId="0" xfId="0" applyAlignment="1" applyFont="1">
      <alignment horizontal="right"/>
    </xf>
    <xf borderId="0" fillId="0" fontId="1" numFmtId="166" xfId="0" applyFont="1" applyNumberFormat="1"/>
    <xf borderId="0" fillId="0" fontId="1" numFmtId="166" xfId="0" applyAlignment="1" applyFont="1" applyNumberFormat="1">
      <alignment horizontal="right"/>
    </xf>
    <xf borderId="0" fillId="0" fontId="23" numFmtId="166" xfId="0" applyFont="1" applyNumberFormat="1"/>
    <xf borderId="0" fillId="0" fontId="14" numFmtId="166" xfId="0" applyFont="1" applyNumberFormat="1"/>
    <xf borderId="6" fillId="0" fontId="5" numFmtId="172" xfId="0" applyAlignment="1" applyBorder="1" applyFont="1" applyNumberFormat="1">
      <alignment readingOrder="0"/>
    </xf>
    <xf borderId="7" fillId="0" fontId="1" numFmtId="172" xfId="0" applyBorder="1" applyFont="1" applyNumberFormat="1"/>
    <xf borderId="8" fillId="0" fontId="1" numFmtId="167" xfId="0" applyBorder="1" applyFont="1" applyNumberFormat="1"/>
    <xf borderId="0" fillId="0" fontId="27" numFmtId="0" xfId="0" applyAlignment="1" applyFont="1">
      <alignment horizontal="center"/>
    </xf>
    <xf borderId="0" fillId="0" fontId="5" numFmtId="164" xfId="0" applyAlignment="1" applyFont="1" applyNumberFormat="1">
      <alignment readingOrder="0"/>
    </xf>
    <xf borderId="0" fillId="0" fontId="28" numFmtId="0" xfId="0" applyFont="1"/>
    <xf borderId="0" fillId="0" fontId="16" numFmtId="0" xfId="0" applyAlignment="1" applyFont="1">
      <alignment readingOrder="0"/>
    </xf>
    <xf borderId="0" fillId="0" fontId="15" numFmtId="0" xfId="0" applyFont="1"/>
    <xf borderId="2" fillId="8" fontId="15" numFmtId="0" xfId="0" applyAlignment="1" applyBorder="1" applyFill="1" applyFont="1">
      <alignment readingOrder="0"/>
    </xf>
    <xf borderId="1" fillId="0" fontId="29" numFmtId="0" xfId="0" applyAlignment="1" applyBorder="1" applyFont="1">
      <alignment readingOrder="0"/>
    </xf>
    <xf borderId="0" fillId="0" fontId="30" numFmtId="2" xfId="0" applyFont="1" applyNumberFormat="1"/>
    <xf borderId="1" fillId="8" fontId="16" numFmtId="0" xfId="0" applyAlignment="1" applyBorder="1" applyFont="1">
      <alignment readingOrder="0"/>
    </xf>
    <xf borderId="0" fillId="8" fontId="15" numFmtId="0" xfId="0" applyAlignment="1" applyFont="1">
      <alignment readingOrder="0"/>
    </xf>
    <xf borderId="0" fillId="0" fontId="31" numFmtId="0" xfId="0" applyAlignment="1" applyFont="1">
      <alignment horizontal="left" readingOrder="0" shrinkToFit="0" wrapText="1"/>
    </xf>
    <xf borderId="1" fillId="0" fontId="16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9" fillId="0" fontId="15" numFmtId="0" xfId="0" applyAlignment="1" applyBorder="1" applyFont="1">
      <alignment readingOrder="0"/>
    </xf>
    <xf borderId="10" fillId="0" fontId="32" numFmtId="173" xfId="0" applyAlignment="1" applyBorder="1" applyFont="1" applyNumberFormat="1">
      <alignment readingOrder="0"/>
    </xf>
    <xf borderId="11" fillId="0" fontId="15" numFmtId="0" xfId="0" applyBorder="1" applyFont="1"/>
    <xf borderId="12" fillId="0" fontId="15" numFmtId="0" xfId="0" applyBorder="1" applyFont="1"/>
    <xf borderId="13" fillId="0" fontId="33" numFmtId="0" xfId="0" applyAlignment="1" applyBorder="1" applyFont="1">
      <alignment readingOrder="0"/>
    </xf>
    <xf borderId="2" fillId="0" fontId="33" numFmtId="0" xfId="0" applyAlignment="1" applyBorder="1" applyFont="1">
      <alignment readingOrder="0"/>
    </xf>
    <xf borderId="14" fillId="0" fontId="33" numFmtId="0" xfId="0" applyAlignment="1" applyBorder="1" applyFont="1">
      <alignment readingOrder="0"/>
    </xf>
    <xf borderId="15" fillId="0" fontId="31" numFmtId="0" xfId="0" applyBorder="1" applyFont="1"/>
    <xf borderId="16" fillId="0" fontId="34" numFmtId="0" xfId="0" applyAlignment="1" applyBorder="1" applyFont="1">
      <alignment readingOrder="0"/>
    </xf>
    <xf borderId="11" fillId="0" fontId="34" numFmtId="0" xfId="0" applyBorder="1" applyFont="1"/>
    <xf borderId="11" fillId="0" fontId="34" numFmtId="0" xfId="0" applyAlignment="1" applyBorder="1" applyFont="1">
      <alignment readingOrder="0"/>
    </xf>
    <xf borderId="12" fillId="0" fontId="34" numFmtId="0" xfId="0" applyBorder="1" applyFont="1"/>
    <xf borderId="15" fillId="8" fontId="34" numFmtId="0" xfId="0" applyAlignment="1" applyBorder="1" applyFont="1">
      <alignment readingOrder="0"/>
    </xf>
    <xf borderId="15" fillId="8" fontId="31" numFmtId="0" xfId="0" applyAlignment="1" applyBorder="1" applyFont="1">
      <alignment readingOrder="0"/>
    </xf>
    <xf borderId="0" fillId="5" fontId="35" numFmtId="0" xfId="0" applyAlignment="1" applyFont="1">
      <alignment readingOrder="0"/>
    </xf>
    <xf borderId="0" fillId="8" fontId="31" numFmtId="0" xfId="0" applyFont="1"/>
    <xf borderId="1" fillId="8" fontId="31" numFmtId="169" xfId="0" applyBorder="1" applyFont="1" applyNumberFormat="1"/>
    <xf borderId="15" fillId="0" fontId="34" numFmtId="0" xfId="0" applyAlignment="1" applyBorder="1" applyFont="1">
      <alignment readingOrder="0"/>
    </xf>
    <xf borderId="15" fillId="0" fontId="31" numFmtId="0" xfId="0" applyAlignment="1" applyBorder="1" applyFont="1">
      <alignment readingOrder="0"/>
    </xf>
    <xf borderId="0" fillId="0" fontId="31" numFmtId="0" xfId="0" applyFont="1"/>
    <xf borderId="1" fillId="0" fontId="31" numFmtId="169" xfId="0" applyBorder="1" applyFont="1" applyNumberFormat="1"/>
    <xf borderId="13" fillId="0" fontId="34" numFmtId="0" xfId="0" applyAlignment="1" applyBorder="1" applyFont="1">
      <alignment readingOrder="0"/>
    </xf>
    <xf borderId="13" fillId="0" fontId="31" numFmtId="0" xfId="0" applyAlignment="1" applyBorder="1" applyFont="1">
      <alignment readingOrder="0"/>
    </xf>
    <xf borderId="2" fillId="5" fontId="35" numFmtId="0" xfId="0" applyAlignment="1" applyBorder="1" applyFont="1">
      <alignment readingOrder="0"/>
    </xf>
    <xf borderId="2" fillId="0" fontId="31" numFmtId="0" xfId="0" applyBorder="1" applyFont="1"/>
    <xf borderId="14" fillId="0" fontId="31" numFmtId="169" xfId="0" applyBorder="1" applyFont="1" applyNumberFormat="1"/>
    <xf borderId="9" fillId="8" fontId="31" numFmtId="0" xfId="0" applyAlignment="1" applyBorder="1" applyFont="1">
      <alignment readingOrder="0"/>
    </xf>
    <xf borderId="10" fillId="8" fontId="31" numFmtId="169" xfId="0" applyBorder="1" applyFont="1" applyNumberFormat="1"/>
    <xf borderId="0" fillId="0" fontId="33" numFmtId="0" xfId="0" applyAlignment="1" applyFont="1">
      <alignment readingOrder="0"/>
    </xf>
    <xf borderId="6" fillId="0" fontId="34" numFmtId="0" xfId="0" applyAlignment="1" applyBorder="1" applyFont="1">
      <alignment readingOrder="0"/>
    </xf>
    <xf borderId="16" fillId="0" fontId="31" numFmtId="10" xfId="0" applyAlignment="1" applyBorder="1" applyFont="1" applyNumberFormat="1">
      <alignment readingOrder="0"/>
    </xf>
    <xf borderId="11" fillId="0" fontId="31" numFmtId="10" xfId="0" applyAlignment="1" applyBorder="1" applyFont="1" applyNumberFormat="1">
      <alignment readingOrder="0"/>
    </xf>
    <xf borderId="11" fillId="0" fontId="31" numFmtId="171" xfId="0" applyAlignment="1" applyBorder="1" applyFont="1" applyNumberFormat="1">
      <alignment readingOrder="0"/>
    </xf>
    <xf borderId="11" fillId="0" fontId="31" numFmtId="169" xfId="0" applyBorder="1" applyFont="1" applyNumberFormat="1"/>
    <xf borderId="12" fillId="0" fontId="34" numFmtId="167" xfId="0" applyBorder="1" applyFont="1" applyNumberFormat="1"/>
    <xf borderId="0" fillId="0" fontId="15" numFmtId="10" xfId="0" applyFont="1" applyNumberFormat="1"/>
    <xf borderId="8" fillId="8" fontId="34" numFmtId="0" xfId="0" applyBorder="1" applyFont="1"/>
    <xf borderId="13" fillId="8" fontId="31" numFmtId="10" xfId="0" applyAlignment="1" applyBorder="1" applyFont="1" applyNumberFormat="1">
      <alignment readingOrder="0"/>
    </xf>
    <xf borderId="2" fillId="8" fontId="31" numFmtId="10" xfId="0" applyAlignment="1" applyBorder="1" applyFont="1" applyNumberFormat="1">
      <alignment readingOrder="0"/>
    </xf>
    <xf borderId="2" fillId="8" fontId="31" numFmtId="0" xfId="0" applyAlignment="1" applyBorder="1" applyFont="1">
      <alignment readingOrder="0"/>
    </xf>
    <xf borderId="2" fillId="8" fontId="31" numFmtId="169" xfId="0" applyBorder="1" applyFont="1" applyNumberFormat="1"/>
    <xf borderId="1" fillId="8" fontId="34" numFmtId="167" xfId="0" applyBorder="1" applyFont="1" applyNumberFormat="1"/>
    <xf borderId="11" fillId="0" fontId="31" numFmtId="0" xfId="0" applyAlignment="1" applyBorder="1" applyFont="1">
      <alignment readingOrder="0"/>
    </xf>
    <xf borderId="7" fillId="8" fontId="34" numFmtId="0" xfId="0" applyBorder="1" applyFont="1"/>
    <xf borderId="15" fillId="8" fontId="31" numFmtId="10" xfId="0" applyAlignment="1" applyBorder="1" applyFont="1" applyNumberFormat="1">
      <alignment readingOrder="0"/>
    </xf>
    <xf borderId="0" fillId="8" fontId="31" numFmtId="10" xfId="0" applyAlignment="1" applyFont="1" applyNumberFormat="1">
      <alignment readingOrder="0"/>
    </xf>
    <xf borderId="0" fillId="8" fontId="31" numFmtId="0" xfId="0" applyAlignment="1" applyFont="1">
      <alignment readingOrder="0"/>
    </xf>
    <xf borderId="0" fillId="8" fontId="31" numFmtId="169" xfId="0" applyFont="1" applyNumberFormat="1"/>
    <xf borderId="7" fillId="8" fontId="31" numFmtId="0" xfId="0" applyBorder="1" applyFont="1"/>
    <xf borderId="8" fillId="0" fontId="31" numFmtId="0" xfId="0" applyBorder="1" applyFont="1"/>
    <xf borderId="2" fillId="0" fontId="31" numFmtId="10" xfId="0" applyAlignment="1" applyBorder="1" applyFont="1" applyNumberFormat="1">
      <alignment readingOrder="0"/>
    </xf>
    <xf borderId="2" fillId="0" fontId="31" numFmtId="0" xfId="0" applyAlignment="1" applyBorder="1" applyFont="1">
      <alignment readingOrder="0"/>
    </xf>
    <xf borderId="2" fillId="0" fontId="31" numFmtId="169" xfId="0" applyBorder="1" applyFont="1" applyNumberFormat="1"/>
    <xf borderId="14" fillId="0" fontId="34" numFmtId="167" xfId="0" applyBorder="1" applyFont="1" applyNumberFormat="1"/>
    <xf borderId="0" fillId="0" fontId="31" numFmtId="10" xfId="0" applyFont="1" applyNumberFormat="1"/>
    <xf borderId="5" fillId="8" fontId="31" numFmtId="169" xfId="0" applyBorder="1" applyFont="1" applyNumberFormat="1"/>
    <xf borderId="14" fillId="8" fontId="34" numFmtId="10" xfId="0" applyBorder="1" applyFont="1" applyNumberFormat="1"/>
    <xf borderId="16" fillId="0" fontId="16" numFmtId="0" xfId="0" applyAlignment="1" applyBorder="1" applyFont="1">
      <alignment readingOrder="0"/>
    </xf>
    <xf borderId="13" fillId="6" fontId="36" numFmtId="0" xfId="0" applyAlignment="1" applyBorder="1" applyFont="1">
      <alignment horizontal="left" readingOrder="0" shrinkToFit="0" wrapText="1"/>
    </xf>
    <xf borderId="2" fillId="6" fontId="36" numFmtId="0" xfId="0" applyAlignment="1" applyBorder="1" applyFont="1">
      <alignment horizontal="left" readingOrder="0" shrinkToFit="0" wrapText="1"/>
    </xf>
    <xf borderId="14" fillId="6" fontId="36" numFmtId="0" xfId="0" applyAlignment="1" applyBorder="1" applyFont="1">
      <alignment horizontal="left" readingOrder="0" shrinkToFit="0" wrapText="1"/>
    </xf>
    <xf borderId="6" fillId="0" fontId="37" numFmtId="0" xfId="0" applyAlignment="1" applyBorder="1" applyFont="1">
      <alignment horizontal="left" readingOrder="0" shrinkToFit="0" wrapText="1"/>
    </xf>
    <xf borderId="16" fillId="0" fontId="38" numFmtId="0" xfId="0" applyAlignment="1" applyBorder="1" applyFont="1">
      <alignment horizontal="left" readingOrder="0" shrinkToFit="0" wrapText="1"/>
    </xf>
    <xf borderId="11" fillId="0" fontId="38" numFmtId="0" xfId="0" applyAlignment="1" applyBorder="1" applyFont="1">
      <alignment horizontal="left" readingOrder="0" shrinkToFit="0" wrapText="1"/>
    </xf>
    <xf borderId="11" fillId="0" fontId="31" numFmtId="0" xfId="0" applyAlignment="1" applyBorder="1" applyFont="1">
      <alignment horizontal="left" readingOrder="0" shrinkToFit="0" wrapText="1"/>
    </xf>
    <xf borderId="11" fillId="5" fontId="35" numFmtId="0" xfId="0" applyAlignment="1" applyBorder="1" applyFont="1">
      <alignment horizontal="left" readingOrder="0" shrinkToFit="0" wrapText="1"/>
    </xf>
    <xf borderId="1" fillId="0" fontId="31" numFmtId="10" xfId="0" applyBorder="1" applyFont="1" applyNumberFormat="1"/>
    <xf borderId="7" fillId="8" fontId="37" numFmtId="0" xfId="0" applyAlignment="1" applyBorder="1" applyFont="1">
      <alignment horizontal="left" readingOrder="0" shrinkToFit="0" wrapText="1"/>
    </xf>
    <xf borderId="15" fillId="8" fontId="38" numFmtId="0" xfId="0" applyAlignment="1" applyBorder="1" applyFont="1">
      <alignment horizontal="left" readingOrder="0" shrinkToFit="0" wrapText="1"/>
    </xf>
    <xf borderId="0" fillId="8" fontId="31" numFmtId="0" xfId="0" applyAlignment="1" applyFont="1">
      <alignment horizontal="left" readingOrder="0" shrinkToFit="0" wrapText="1"/>
    </xf>
    <xf borderId="0" fillId="8" fontId="38" numFmtId="0" xfId="0" applyAlignment="1" applyFont="1">
      <alignment horizontal="left" readingOrder="0" shrinkToFit="0" wrapText="1"/>
    </xf>
    <xf borderId="0" fillId="5" fontId="35" numFmtId="0" xfId="0" applyAlignment="1" applyFont="1">
      <alignment horizontal="left" readingOrder="0" shrinkToFit="0" wrapText="1"/>
    </xf>
    <xf borderId="1" fillId="8" fontId="31" numFmtId="10" xfId="0" applyBorder="1" applyFont="1" applyNumberFormat="1"/>
    <xf borderId="8" fillId="0" fontId="37" numFmtId="0" xfId="0" applyAlignment="1" applyBorder="1" applyFont="1">
      <alignment horizontal="left" readingOrder="0" shrinkToFit="0" wrapText="1"/>
    </xf>
    <xf borderId="13" fillId="0" fontId="31" numFmtId="0" xfId="0" applyAlignment="1" applyBorder="1" applyFont="1">
      <alignment horizontal="left" readingOrder="0" shrinkToFit="0" wrapText="1"/>
    </xf>
    <xf borderId="2" fillId="0" fontId="31" numFmtId="0" xfId="0" applyAlignment="1" applyBorder="1" applyFont="1">
      <alignment horizontal="left" readingOrder="0" shrinkToFit="0" wrapText="1"/>
    </xf>
    <xf borderId="2" fillId="5" fontId="35" numFmtId="0" xfId="0" applyAlignment="1" applyBorder="1" applyFont="1">
      <alignment horizontal="left" readingOrder="0" shrinkToFit="0" wrapText="1"/>
    </xf>
    <xf borderId="14" fillId="0" fontId="31" numFmtId="10" xfId="0" applyBorder="1" applyFont="1" applyNumberFormat="1"/>
    <xf borderId="6" fillId="8" fontId="39" numFmtId="0" xfId="0" applyAlignment="1" applyBorder="1" applyFont="1">
      <alignment horizontal="left" readingOrder="0" shrinkToFit="0" wrapText="1"/>
    </xf>
    <xf borderId="12" fillId="8" fontId="31" numFmtId="169" xfId="0" applyBorder="1" applyFont="1" applyNumberFormat="1"/>
    <xf borderId="7" fillId="9" fontId="39" numFmtId="0" xfId="0" applyAlignment="1" applyBorder="1" applyFill="1" applyFont="1">
      <alignment horizontal="left" readingOrder="0" shrinkToFit="0" wrapText="1"/>
    </xf>
    <xf borderId="1" fillId="9" fontId="31" numFmtId="174" xfId="0" applyBorder="1" applyFont="1" applyNumberFormat="1"/>
    <xf borderId="7" fillId="8" fontId="39" numFmtId="0" xfId="0" applyAlignment="1" applyBorder="1" applyFont="1">
      <alignment horizontal="left" readingOrder="0" shrinkToFit="0" wrapText="1"/>
    </xf>
    <xf borderId="1" fillId="8" fontId="34" numFmtId="169" xfId="0" applyBorder="1" applyFont="1" applyNumberFormat="1"/>
    <xf borderId="8" fillId="0" fontId="39" numFmtId="0" xfId="0" applyAlignment="1" applyBorder="1" applyFont="1">
      <alignment horizontal="left" readingOrder="0" shrinkToFit="0" wrapText="1"/>
    </xf>
    <xf borderId="14" fillId="9" fontId="31" numFmtId="10" xfId="0" applyBorder="1" applyFont="1" applyNumberFormat="1"/>
    <xf borderId="12" fillId="5" fontId="31" numFmtId="9" xfId="0" applyAlignment="1" applyBorder="1" applyFont="1" applyNumberFormat="1">
      <alignment readingOrder="0"/>
    </xf>
    <xf borderId="1" fillId="9" fontId="31" numFmtId="2" xfId="0" applyBorder="1" applyFont="1" applyNumberFormat="1"/>
    <xf borderId="14" fillId="0" fontId="15" numFmtId="10" xfId="0" applyBorder="1" applyFont="1" applyNumberFormat="1"/>
    <xf borderId="17" fillId="4" fontId="40" numFmtId="0" xfId="0" applyAlignment="1" applyBorder="1" applyFont="1">
      <alignment readingOrder="0"/>
    </xf>
    <xf borderId="3" fillId="0" fontId="41" numFmtId="0" xfId="0" applyAlignment="1" applyBorder="1" applyFont="1">
      <alignment readingOrder="0" shrinkToFit="0" wrapText="1"/>
    </xf>
    <xf borderId="3" fillId="0" fontId="42" numFmtId="0" xfId="0" applyAlignment="1" applyBorder="1" applyFont="1">
      <alignment readingOrder="0" shrinkToFit="0" wrapText="1"/>
    </xf>
    <xf borderId="3" fillId="0" fontId="41" numFmtId="10" xfId="0" applyAlignment="1" applyBorder="1" applyFont="1" applyNumberForma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9.75"/>
    <col customWidth="1" min="2" max="14" width="9.25"/>
    <col customWidth="1" min="15" max="15" width="11.25"/>
    <col customWidth="1" min="16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 t="s">
        <v>2</v>
      </c>
      <c r="B3" s="4" t="s">
        <v>3</v>
      </c>
      <c r="C3" s="4" t="s">
        <v>4</v>
      </c>
      <c r="D3" s="4" t="s">
        <v>5</v>
      </c>
      <c r="E3" s="4">
        <v>2024.0</v>
      </c>
      <c r="F3" s="4">
        <v>2023.0</v>
      </c>
      <c r="G3" s="4">
        <v>2022.0</v>
      </c>
      <c r="H3" s="4">
        <v>2021.0</v>
      </c>
      <c r="I3" s="4">
        <v>2020.0</v>
      </c>
      <c r="J3" s="4">
        <v>2019.0</v>
      </c>
      <c r="K3" s="4">
        <v>2018.0</v>
      </c>
      <c r="L3" s="4">
        <v>2017.0</v>
      </c>
      <c r="M3" s="4">
        <v>2016.0</v>
      </c>
      <c r="N3" s="4">
        <v>2015.0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2.75" customHeight="1">
      <c r="A5" s="5" t="s">
        <v>7</v>
      </c>
      <c r="B5" s="6">
        <f t="shared" ref="B5:D5" si="1">C5*(1+B44)</f>
        <v>472907.025</v>
      </c>
      <c r="C5" s="6">
        <f t="shared" si="1"/>
        <v>315271.35</v>
      </c>
      <c r="D5" s="6">
        <f t="shared" si="1"/>
        <v>137074.5</v>
      </c>
      <c r="E5" s="7">
        <v>60922.0</v>
      </c>
      <c r="F5" s="7">
        <v>26974.0</v>
      </c>
      <c r="G5" s="7">
        <v>26914.0</v>
      </c>
      <c r="H5" s="7">
        <v>16675.0</v>
      </c>
      <c r="I5" s="7">
        <v>10918.0</v>
      </c>
      <c r="J5" s="7">
        <v>11716.0</v>
      </c>
      <c r="K5" s="7">
        <v>9714.0</v>
      </c>
      <c r="L5" s="7">
        <v>6910.0</v>
      </c>
      <c r="M5" s="7">
        <v>5010.0</v>
      </c>
      <c r="N5" s="7">
        <v>4682.0</v>
      </c>
    </row>
    <row r="6" ht="12.75" customHeight="1">
      <c r="A6" s="5" t="s">
        <v>8</v>
      </c>
      <c r="B6" s="8">
        <f t="shared" ref="B6:D6" si="2">B5-B7</f>
        <v>165517.4588</v>
      </c>
      <c r="C6" s="8">
        <f t="shared" si="2"/>
        <v>94423.76933</v>
      </c>
      <c r="D6" s="8">
        <f t="shared" si="2"/>
        <v>35639.37</v>
      </c>
      <c r="E6" s="9">
        <v>16621.0</v>
      </c>
      <c r="F6" s="9">
        <v>11618.0</v>
      </c>
      <c r="G6" s="9">
        <v>9439.0</v>
      </c>
      <c r="H6" s="9">
        <v>6279.0</v>
      </c>
      <c r="I6" s="9">
        <v>4150.0</v>
      </c>
      <c r="J6" s="9">
        <v>4545.0</v>
      </c>
      <c r="K6" s="9">
        <v>3892.0</v>
      </c>
      <c r="L6" s="9">
        <v>2847.0</v>
      </c>
      <c r="M6" s="9">
        <v>2199.0</v>
      </c>
      <c r="N6" s="9">
        <v>2083.0</v>
      </c>
    </row>
    <row r="7" ht="12.75" customHeight="1">
      <c r="A7" s="5" t="s">
        <v>9</v>
      </c>
      <c r="B7" s="10">
        <f t="shared" ref="B7:D7" si="3">B5*B46</f>
        <v>307389.5663</v>
      </c>
      <c r="C7" s="10">
        <f t="shared" si="3"/>
        <v>220847.5807</v>
      </c>
      <c r="D7" s="10">
        <f t="shared" si="3"/>
        <v>101435.13</v>
      </c>
      <c r="E7" s="10">
        <f t="shared" ref="E7:N7" si="4">E5-E6</f>
        <v>44301</v>
      </c>
      <c r="F7" s="10">
        <f t="shared" si="4"/>
        <v>15356</v>
      </c>
      <c r="G7" s="10">
        <f t="shared" si="4"/>
        <v>17475</v>
      </c>
      <c r="H7" s="10">
        <f t="shared" si="4"/>
        <v>10396</v>
      </c>
      <c r="I7" s="10">
        <f t="shared" si="4"/>
        <v>6768</v>
      </c>
      <c r="J7" s="10">
        <f t="shared" si="4"/>
        <v>7171</v>
      </c>
      <c r="K7" s="10">
        <f t="shared" si="4"/>
        <v>5822</v>
      </c>
      <c r="L7" s="10">
        <f t="shared" si="4"/>
        <v>4063</v>
      </c>
      <c r="M7" s="10">
        <f t="shared" si="4"/>
        <v>2811</v>
      </c>
      <c r="N7" s="10">
        <f t="shared" si="4"/>
        <v>2599</v>
      </c>
    </row>
    <row r="8" ht="12.75" customHeight="1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2.75" customHeight="1">
      <c r="A9" s="2" t="s">
        <v>10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2.75" customHeight="1">
      <c r="A10" s="11" t="s">
        <v>11</v>
      </c>
      <c r="B10" s="6">
        <f t="shared" ref="B10:D10" si="5">B$5*B47</f>
        <v>99310.47525</v>
      </c>
      <c r="C10" s="6">
        <f t="shared" si="5"/>
        <v>61477.91325</v>
      </c>
      <c r="D10" s="6">
        <f t="shared" si="5"/>
        <v>13707.45</v>
      </c>
      <c r="E10" s="7">
        <v>8675.0</v>
      </c>
      <c r="F10" s="7">
        <v>7339.0</v>
      </c>
      <c r="G10" s="7">
        <v>5268.0</v>
      </c>
      <c r="H10" s="7">
        <v>3924.0</v>
      </c>
      <c r="I10" s="7">
        <v>2829.0</v>
      </c>
      <c r="J10" s="7">
        <v>2376.0</v>
      </c>
      <c r="K10" s="7">
        <v>1797.0</v>
      </c>
      <c r="L10" s="7">
        <v>1463.0</v>
      </c>
      <c r="M10" s="7">
        <v>1331.0</v>
      </c>
      <c r="N10" s="7">
        <v>1360.0</v>
      </c>
    </row>
    <row r="11" ht="12.75" customHeight="1">
      <c r="A11" s="11" t="s">
        <v>12</v>
      </c>
      <c r="B11" s="6">
        <f t="shared" ref="B11:D11" si="6">B$5*B48</f>
        <v>43412.8649</v>
      </c>
      <c r="C11" s="6">
        <f t="shared" si="6"/>
        <v>28941.90993</v>
      </c>
      <c r="D11" s="6">
        <f t="shared" si="6"/>
        <v>3783.2562</v>
      </c>
      <c r="E11" s="7">
        <v>2654.0</v>
      </c>
      <c r="F11" s="7">
        <v>2440.0</v>
      </c>
      <c r="G11" s="7">
        <v>2166.0</v>
      </c>
      <c r="H11" s="7">
        <v>1940.0</v>
      </c>
      <c r="I11" s="7">
        <v>1093.0</v>
      </c>
      <c r="J11" s="7">
        <v>991.0</v>
      </c>
      <c r="K11" s="7">
        <v>815.0</v>
      </c>
      <c r="L11" s="7">
        <v>663.0</v>
      </c>
      <c r="M11" s="7">
        <v>602.0</v>
      </c>
      <c r="N11" s="7">
        <v>480.0</v>
      </c>
    </row>
    <row r="12" ht="12.75" customHeight="1">
      <c r="A12" s="11" t="s">
        <v>13</v>
      </c>
      <c r="B12" s="6">
        <f t="shared" ref="B12:D12" si="7">B$5*B49</f>
        <v>0</v>
      </c>
      <c r="C12" s="6">
        <f t="shared" si="7"/>
        <v>0</v>
      </c>
      <c r="D12" s="6">
        <f t="shared" si="7"/>
        <v>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3.0</v>
      </c>
      <c r="M12" s="7">
        <v>131.0</v>
      </c>
      <c r="N12" s="7">
        <v>0.0</v>
      </c>
    </row>
    <row r="13" ht="12.75" customHeight="1">
      <c r="A13" s="11" t="s">
        <v>14</v>
      </c>
      <c r="B13" s="6">
        <f t="shared" ref="B13:D13" si="8">B$5*B50</f>
        <v>0</v>
      </c>
      <c r="C13" s="6">
        <f t="shared" si="8"/>
        <v>0</v>
      </c>
      <c r="D13" s="6">
        <f t="shared" si="8"/>
        <v>0</v>
      </c>
      <c r="E13" s="7">
        <v>0.0</v>
      </c>
      <c r="F13" s="7">
        <v>1353.0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</row>
    <row r="14" ht="12.75" customHeight="1">
      <c r="A14" s="5" t="s">
        <v>15</v>
      </c>
      <c r="B14" s="12">
        <f t="shared" ref="B14:N14" si="9">SUM(B10:B13)</f>
        <v>142723.3401</v>
      </c>
      <c r="C14" s="12">
        <f t="shared" si="9"/>
        <v>90419.82318</v>
      </c>
      <c r="D14" s="12">
        <f t="shared" si="9"/>
        <v>17490.7062</v>
      </c>
      <c r="E14" s="12">
        <f t="shared" si="9"/>
        <v>11329</v>
      </c>
      <c r="F14" s="12">
        <f t="shared" si="9"/>
        <v>11132</v>
      </c>
      <c r="G14" s="12">
        <f t="shared" si="9"/>
        <v>7434</v>
      </c>
      <c r="H14" s="12">
        <f t="shared" si="9"/>
        <v>5864</v>
      </c>
      <c r="I14" s="12">
        <f t="shared" si="9"/>
        <v>3922</v>
      </c>
      <c r="J14" s="12">
        <f t="shared" si="9"/>
        <v>3367</v>
      </c>
      <c r="K14" s="12">
        <f t="shared" si="9"/>
        <v>2612</v>
      </c>
      <c r="L14" s="12">
        <f t="shared" si="9"/>
        <v>2129</v>
      </c>
      <c r="M14" s="12">
        <f t="shared" si="9"/>
        <v>2064</v>
      </c>
      <c r="N14" s="12">
        <f t="shared" si="9"/>
        <v>1840</v>
      </c>
    </row>
    <row r="15" ht="12.75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12.75" customHeight="1">
      <c r="A16" s="2" t="s">
        <v>16</v>
      </c>
      <c r="B16" s="10">
        <f t="shared" ref="B16:N16" si="10">B7-B14</f>
        <v>164666.2261</v>
      </c>
      <c r="C16" s="10">
        <f t="shared" si="10"/>
        <v>130427.7575</v>
      </c>
      <c r="D16" s="10">
        <f t="shared" si="10"/>
        <v>83944.4238</v>
      </c>
      <c r="E16" s="10">
        <f t="shared" si="10"/>
        <v>32972</v>
      </c>
      <c r="F16" s="10">
        <f t="shared" si="10"/>
        <v>4224</v>
      </c>
      <c r="G16" s="10">
        <f t="shared" si="10"/>
        <v>10041</v>
      </c>
      <c r="H16" s="10">
        <f t="shared" si="10"/>
        <v>4532</v>
      </c>
      <c r="I16" s="10">
        <f t="shared" si="10"/>
        <v>2846</v>
      </c>
      <c r="J16" s="10">
        <f t="shared" si="10"/>
        <v>3804</v>
      </c>
      <c r="K16" s="10">
        <f t="shared" si="10"/>
        <v>3210</v>
      </c>
      <c r="L16" s="10">
        <f t="shared" si="10"/>
        <v>1934</v>
      </c>
      <c r="M16" s="10">
        <f t="shared" si="10"/>
        <v>747</v>
      </c>
      <c r="N16" s="10">
        <f t="shared" si="10"/>
        <v>759</v>
      </c>
    </row>
    <row r="17" ht="12.75" customHeight="1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2.75" customHeight="1">
      <c r="A18" s="11" t="s">
        <v>17</v>
      </c>
      <c r="B18" s="6">
        <f t="shared" ref="B18:D18" si="11">B$5*B51</f>
        <v>4256.163225</v>
      </c>
      <c r="C18" s="6">
        <f t="shared" si="11"/>
        <v>1891.6281</v>
      </c>
      <c r="D18" s="6">
        <f t="shared" si="11"/>
        <v>1919.043</v>
      </c>
      <c r="E18" s="7">
        <v>866.0</v>
      </c>
      <c r="F18" s="7">
        <v>267.0</v>
      </c>
      <c r="G18" s="7">
        <v>29.0</v>
      </c>
      <c r="H18" s="7">
        <v>57.0</v>
      </c>
      <c r="I18" s="7">
        <v>178.0</v>
      </c>
      <c r="J18" s="7">
        <v>136.0</v>
      </c>
      <c r="K18" s="7">
        <v>69.0</v>
      </c>
      <c r="L18" s="7">
        <v>54.0</v>
      </c>
      <c r="M18" s="7">
        <v>39.0</v>
      </c>
      <c r="N18" s="7">
        <v>28.0</v>
      </c>
    </row>
    <row r="19" ht="12.75" customHeight="1">
      <c r="A19" s="11" t="s">
        <v>18</v>
      </c>
      <c r="B19" s="6">
        <f t="shared" ref="B19:D19" si="12">B$5*B52</f>
        <v>-3641.384093</v>
      </c>
      <c r="C19" s="6">
        <f t="shared" si="12"/>
        <v>-2427.589395</v>
      </c>
      <c r="D19" s="6">
        <f t="shared" si="12"/>
        <v>-274.149</v>
      </c>
      <c r="E19" s="7">
        <v>-257.0</v>
      </c>
      <c r="F19" s="7">
        <v>-262.0</v>
      </c>
      <c r="G19" s="7">
        <v>-236.0</v>
      </c>
      <c r="H19" s="7">
        <v>-184.0</v>
      </c>
      <c r="I19" s="7">
        <v>-52.0</v>
      </c>
      <c r="J19" s="7">
        <v>-58.0</v>
      </c>
      <c r="K19" s="7">
        <v>-61.0</v>
      </c>
      <c r="L19" s="7">
        <v>-58.0</v>
      </c>
      <c r="M19" s="7">
        <v>-47.0</v>
      </c>
      <c r="N19" s="7">
        <v>-46.0</v>
      </c>
    </row>
    <row r="20" ht="12.75" customHeight="1">
      <c r="A20" s="11" t="s">
        <v>19</v>
      </c>
      <c r="B20" s="6">
        <f t="shared" ref="B20:D20" si="13">B$5*B53</f>
        <v>-94.581405</v>
      </c>
      <c r="C20" s="6">
        <f t="shared" si="13"/>
        <v>126.10854</v>
      </c>
      <c r="D20" s="6">
        <f t="shared" si="13"/>
        <v>452.34585</v>
      </c>
      <c r="E20" s="7">
        <v>237.0</v>
      </c>
      <c r="F20" s="7">
        <v>-48.0</v>
      </c>
      <c r="G20" s="7">
        <v>107.0</v>
      </c>
      <c r="H20" s="7">
        <v>4.0</v>
      </c>
      <c r="I20" s="7">
        <v>-2.0</v>
      </c>
      <c r="J20" s="7">
        <v>14.0</v>
      </c>
      <c r="K20" s="7">
        <v>-22.0</v>
      </c>
      <c r="L20" s="7">
        <v>-25.0</v>
      </c>
      <c r="M20" s="7">
        <v>4.0</v>
      </c>
      <c r="N20" s="7">
        <v>14.0</v>
      </c>
    </row>
    <row r="21" ht="12.75" customHeight="1">
      <c r="A21" s="13" t="s">
        <v>20</v>
      </c>
      <c r="B21" s="9">
        <f t="shared" ref="B21:N21" si="14">SUM(B18:B20)</f>
        <v>520.1977275</v>
      </c>
      <c r="C21" s="9">
        <f t="shared" si="14"/>
        <v>-409.852755</v>
      </c>
      <c r="D21" s="9">
        <f t="shared" si="14"/>
        <v>2097.23985</v>
      </c>
      <c r="E21" s="9">
        <f t="shared" si="14"/>
        <v>846</v>
      </c>
      <c r="F21" s="9">
        <f t="shared" si="14"/>
        <v>-43</v>
      </c>
      <c r="G21" s="9">
        <f t="shared" si="14"/>
        <v>-100</v>
      </c>
      <c r="H21" s="9">
        <f t="shared" si="14"/>
        <v>-123</v>
      </c>
      <c r="I21" s="9">
        <f t="shared" si="14"/>
        <v>124</v>
      </c>
      <c r="J21" s="9">
        <f t="shared" si="14"/>
        <v>92</v>
      </c>
      <c r="K21" s="9">
        <f t="shared" si="14"/>
        <v>-14</v>
      </c>
      <c r="L21" s="9">
        <f t="shared" si="14"/>
        <v>-29</v>
      </c>
      <c r="M21" s="9">
        <f t="shared" si="14"/>
        <v>-4</v>
      </c>
      <c r="N21" s="9">
        <f t="shared" si="14"/>
        <v>-4</v>
      </c>
    </row>
    <row r="22" ht="12.75" customHeight="1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2.75" customHeight="1">
      <c r="A23" s="2" t="s">
        <v>21</v>
      </c>
      <c r="B23" s="10">
        <f t="shared" ref="B23:N23" si="15">B16+B21</f>
        <v>165186.4238</v>
      </c>
      <c r="C23" s="10">
        <f t="shared" si="15"/>
        <v>130017.9047</v>
      </c>
      <c r="D23" s="10">
        <f t="shared" si="15"/>
        <v>86041.66365</v>
      </c>
      <c r="E23" s="10">
        <f t="shared" si="15"/>
        <v>33818</v>
      </c>
      <c r="F23" s="10">
        <f t="shared" si="15"/>
        <v>4181</v>
      </c>
      <c r="G23" s="10">
        <f t="shared" si="15"/>
        <v>9941</v>
      </c>
      <c r="H23" s="10">
        <f t="shared" si="15"/>
        <v>4409</v>
      </c>
      <c r="I23" s="10">
        <f t="shared" si="15"/>
        <v>2970</v>
      </c>
      <c r="J23" s="10">
        <f t="shared" si="15"/>
        <v>3896</v>
      </c>
      <c r="K23" s="10">
        <f t="shared" si="15"/>
        <v>3196</v>
      </c>
      <c r="L23" s="10">
        <f t="shared" si="15"/>
        <v>1905</v>
      </c>
      <c r="M23" s="10">
        <f t="shared" si="15"/>
        <v>743</v>
      </c>
      <c r="N23" s="10">
        <f t="shared" si="15"/>
        <v>755</v>
      </c>
    </row>
    <row r="24" ht="12.75" customHeight="1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2.75" customHeight="1">
      <c r="A25" s="13" t="s">
        <v>22</v>
      </c>
      <c r="B25" s="8">
        <f t="shared" ref="B25:D25" si="16">B23*B73</f>
        <v>23126.09934</v>
      </c>
      <c r="C25" s="8">
        <f t="shared" si="16"/>
        <v>19502.68571</v>
      </c>
      <c r="D25" s="8">
        <f t="shared" si="16"/>
        <v>12476.04123</v>
      </c>
      <c r="E25" s="9">
        <v>4058.0</v>
      </c>
      <c r="F25" s="9">
        <v>-187.0</v>
      </c>
      <c r="G25" s="9">
        <v>189.0</v>
      </c>
      <c r="H25" s="9">
        <v>77.0</v>
      </c>
      <c r="I25" s="9">
        <v>174.0</v>
      </c>
      <c r="J25" s="9">
        <v>-245.0</v>
      </c>
      <c r="K25" s="9">
        <v>149.0</v>
      </c>
      <c r="L25" s="9">
        <v>239.0</v>
      </c>
      <c r="M25" s="9">
        <v>129.0</v>
      </c>
      <c r="N25" s="9">
        <v>124.0</v>
      </c>
    </row>
    <row r="26" ht="12.75" customHeight="1">
      <c r="A26" s="14" t="s">
        <v>23</v>
      </c>
      <c r="B26" s="10">
        <f t="shared" ref="B26:N26" si="17">B23-B25</f>
        <v>142060.3245</v>
      </c>
      <c r="C26" s="10">
        <f t="shared" si="17"/>
        <v>110515.219</v>
      </c>
      <c r="D26" s="10">
        <f t="shared" si="17"/>
        <v>73565.62242</v>
      </c>
      <c r="E26" s="10">
        <f t="shared" si="17"/>
        <v>29760</v>
      </c>
      <c r="F26" s="10">
        <f t="shared" si="17"/>
        <v>4368</v>
      </c>
      <c r="G26" s="10">
        <f t="shared" si="17"/>
        <v>9752</v>
      </c>
      <c r="H26" s="10">
        <f t="shared" si="17"/>
        <v>4332</v>
      </c>
      <c r="I26" s="10">
        <f t="shared" si="17"/>
        <v>2796</v>
      </c>
      <c r="J26" s="10">
        <f t="shared" si="17"/>
        <v>4141</v>
      </c>
      <c r="K26" s="10">
        <f t="shared" si="17"/>
        <v>3047</v>
      </c>
      <c r="L26" s="10">
        <f t="shared" si="17"/>
        <v>1666</v>
      </c>
      <c r="M26" s="10">
        <f t="shared" si="17"/>
        <v>614</v>
      </c>
      <c r="N26" s="10">
        <f t="shared" si="17"/>
        <v>631</v>
      </c>
    </row>
    <row r="27" ht="12.75" customHeigh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2.75" customHeight="1">
      <c r="B28" s="15"/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ht="12.75" customHeight="1">
      <c r="A29" s="11" t="s">
        <v>24</v>
      </c>
      <c r="B29" s="15"/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12.75" customHeight="1">
      <c r="A30" s="11" t="s">
        <v>25</v>
      </c>
      <c r="B30" s="15">
        <f t="shared" ref="B30:D30" si="18">B$26/B37</f>
        <v>5.811731622</v>
      </c>
      <c r="C30" s="15">
        <f t="shared" si="18"/>
        <v>4.498605585</v>
      </c>
      <c r="D30" s="15">
        <f t="shared" si="18"/>
        <v>2.979571584</v>
      </c>
      <c r="E30" s="16">
        <v>12.05</v>
      </c>
      <c r="F30" s="16">
        <v>1.76</v>
      </c>
      <c r="G30" s="16">
        <v>3.91</v>
      </c>
      <c r="H30" s="16">
        <v>7.02</v>
      </c>
      <c r="I30" s="16">
        <v>4.59</v>
      </c>
      <c r="J30" s="16">
        <v>6.81</v>
      </c>
      <c r="K30" s="16">
        <v>5.09</v>
      </c>
      <c r="L30" s="16">
        <v>3.08</v>
      </c>
      <c r="M30" s="16">
        <v>1.13</v>
      </c>
      <c r="N30" s="16">
        <v>1.14</v>
      </c>
    </row>
    <row r="31" ht="12.75" customHeight="1">
      <c r="A31" s="11" t="s">
        <v>26</v>
      </c>
      <c r="B31" s="15">
        <f t="shared" ref="B31:D31" si="19">B$26/B38</f>
        <v>5.753474488</v>
      </c>
      <c r="C31" s="15">
        <f t="shared" si="19"/>
        <v>4.453511303</v>
      </c>
      <c r="D31" s="15">
        <f t="shared" si="19"/>
        <v>2.949704187</v>
      </c>
      <c r="E31" s="16">
        <v>11.93</v>
      </c>
      <c r="F31" s="16">
        <v>1.74</v>
      </c>
      <c r="G31" s="16">
        <v>3.85</v>
      </c>
      <c r="H31" s="16">
        <v>6.9</v>
      </c>
      <c r="I31" s="16">
        <v>4.52</v>
      </c>
      <c r="J31" s="16">
        <v>6.63</v>
      </c>
      <c r="K31" s="16">
        <v>4.82</v>
      </c>
      <c r="L31" s="16">
        <v>2.57</v>
      </c>
      <c r="M31" s="16">
        <v>1.08</v>
      </c>
      <c r="N31" s="16">
        <v>1.12</v>
      </c>
    </row>
    <row r="32" ht="12.75" customHeight="1">
      <c r="A32" s="17" t="s">
        <v>27</v>
      </c>
      <c r="B32" s="18">
        <v>5.58</v>
      </c>
      <c r="C32" s="18">
        <v>4.44</v>
      </c>
      <c r="D32" s="18">
        <v>2.95</v>
      </c>
      <c r="E32" s="19"/>
      <c r="F32" s="19"/>
      <c r="G32" s="20"/>
      <c r="H32" s="20"/>
      <c r="I32" s="6"/>
      <c r="J32" s="6"/>
      <c r="K32" s="6"/>
      <c r="L32" s="6"/>
      <c r="M32" s="6"/>
      <c r="N32" s="6"/>
    </row>
    <row r="33" ht="12.75" customHeight="1">
      <c r="A33" s="17"/>
      <c r="B33" s="19"/>
      <c r="C33" s="19"/>
      <c r="D33" s="19"/>
      <c r="E33" s="19"/>
      <c r="F33" s="19"/>
      <c r="G33" s="20"/>
      <c r="H33" s="20"/>
      <c r="I33" s="6"/>
      <c r="J33" s="6"/>
      <c r="K33" s="6"/>
      <c r="L33" s="6"/>
      <c r="M33" s="6"/>
      <c r="N33" s="6"/>
    </row>
    <row r="34" ht="12.75" customHeight="1">
      <c r="B34" s="20"/>
      <c r="C34" s="20"/>
      <c r="D34" s="20"/>
      <c r="E34" s="20"/>
      <c r="F34" s="20"/>
      <c r="G34" s="20"/>
      <c r="H34" s="20"/>
      <c r="I34" s="6"/>
      <c r="J34" s="6"/>
      <c r="K34" s="6"/>
      <c r="L34" s="6"/>
      <c r="M34" s="6"/>
      <c r="N34" s="6"/>
    </row>
    <row r="35" ht="12.75" customHeight="1">
      <c r="B35" s="20"/>
      <c r="C35" s="20"/>
      <c r="D35" s="20"/>
      <c r="E35" s="20"/>
      <c r="F35" s="20"/>
      <c r="G35" s="20"/>
      <c r="H35" s="20"/>
      <c r="I35" s="6"/>
      <c r="J35" s="6"/>
      <c r="K35" s="6"/>
      <c r="L35" s="6"/>
      <c r="M35" s="6"/>
      <c r="N35" s="6"/>
    </row>
    <row r="36" ht="12.75" customHeight="1">
      <c r="A36" s="5" t="s">
        <v>28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2.75" customHeight="1">
      <c r="A37" s="5" t="s">
        <v>29</v>
      </c>
      <c r="B37" s="21">
        <f t="shared" ref="B37:C37" si="20">C37*(1+B$39)</f>
        <v>24443.71725</v>
      </c>
      <c r="C37" s="21">
        <f t="shared" si="20"/>
        <v>24566.55</v>
      </c>
      <c r="D37" s="21">
        <f t="shared" ref="D37:D38" si="22">E37*(D$39)</f>
        <v>24690</v>
      </c>
      <c r="E37" s="21">
        <v>2469.0</v>
      </c>
      <c r="F37" s="21">
        <v>2487.0</v>
      </c>
      <c r="G37" s="21">
        <v>2496.0</v>
      </c>
      <c r="H37" s="21">
        <v>617.0</v>
      </c>
      <c r="I37" s="21">
        <v>609.0</v>
      </c>
      <c r="J37" s="21">
        <v>608.0</v>
      </c>
      <c r="K37" s="21">
        <v>599.0</v>
      </c>
      <c r="L37" s="21">
        <v>541.0</v>
      </c>
      <c r="M37" s="21">
        <v>543.0</v>
      </c>
      <c r="N37" s="21">
        <v>552.0</v>
      </c>
    </row>
    <row r="38" ht="12.75" customHeight="1">
      <c r="A38" s="5" t="s">
        <v>30</v>
      </c>
      <c r="B38" s="21">
        <f t="shared" ref="B38:C38" si="21">C38*(1+B$39)</f>
        <v>24691.2235</v>
      </c>
      <c r="C38" s="21">
        <f t="shared" si="21"/>
        <v>24815.3</v>
      </c>
      <c r="D38" s="21">
        <f t="shared" si="22"/>
        <v>24940</v>
      </c>
      <c r="E38" s="21">
        <v>2494.0</v>
      </c>
      <c r="F38" s="21">
        <v>2507.0</v>
      </c>
      <c r="G38" s="21">
        <v>2535.0</v>
      </c>
      <c r="H38" s="21">
        <v>628.0</v>
      </c>
      <c r="I38" s="21">
        <v>618.0</v>
      </c>
      <c r="J38" s="21">
        <v>625.0</v>
      </c>
      <c r="K38" s="21">
        <v>632.0</v>
      </c>
      <c r="L38" s="21">
        <v>649.0</v>
      </c>
      <c r="M38" s="21">
        <v>569.0</v>
      </c>
      <c r="N38" s="21">
        <v>563.0</v>
      </c>
    </row>
    <row r="39" ht="12.75" customHeight="1">
      <c r="A39" s="22" t="s">
        <v>31</v>
      </c>
      <c r="B39" s="23">
        <v>-0.005</v>
      </c>
      <c r="C39" s="23">
        <v>-0.005</v>
      </c>
      <c r="D39" s="23">
        <v>10.0</v>
      </c>
      <c r="E39" s="24">
        <f t="shared" ref="E39:M39" si="23">E38/F38-1</f>
        <v>-0.005185480654</v>
      </c>
      <c r="F39" s="24">
        <f t="shared" si="23"/>
        <v>-0.01104536489</v>
      </c>
      <c r="G39" s="24">
        <f t="shared" si="23"/>
        <v>3.036624204</v>
      </c>
      <c r="H39" s="24">
        <f t="shared" si="23"/>
        <v>0.01618122977</v>
      </c>
      <c r="I39" s="24">
        <f t="shared" si="23"/>
        <v>-0.0112</v>
      </c>
      <c r="J39" s="24">
        <f t="shared" si="23"/>
        <v>-0.01107594937</v>
      </c>
      <c r="K39" s="24">
        <f t="shared" si="23"/>
        <v>-0.02619414484</v>
      </c>
      <c r="L39" s="24">
        <f t="shared" si="23"/>
        <v>0.1405975395</v>
      </c>
      <c r="M39" s="24">
        <f t="shared" si="23"/>
        <v>0.01065719361</v>
      </c>
      <c r="N39" s="16"/>
      <c r="O39" s="25"/>
    </row>
    <row r="40" ht="12.75" customHeight="1">
      <c r="B40" s="6"/>
      <c r="C40" s="6"/>
      <c r="D40" s="6"/>
      <c r="E40" s="6"/>
      <c r="F40" s="6"/>
      <c r="G40" s="26"/>
      <c r="H40" s="26"/>
      <c r="I40" s="26"/>
      <c r="J40" s="6"/>
      <c r="K40" s="6"/>
      <c r="L40" s="6"/>
      <c r="M40" s="6"/>
      <c r="N40" s="6"/>
    </row>
    <row r="41" ht="12.75" customHeight="1">
      <c r="A41" s="11" t="s">
        <v>32</v>
      </c>
      <c r="B41" s="27">
        <v>0.0</v>
      </c>
      <c r="C41" s="27">
        <v>0.0</v>
      </c>
      <c r="D41" s="27">
        <v>0.0</v>
      </c>
      <c r="E41" s="28">
        <v>0.0</v>
      </c>
      <c r="F41" s="28">
        <v>0.0</v>
      </c>
      <c r="G41" s="28">
        <v>0.0</v>
      </c>
      <c r="H41" s="28">
        <v>0.0</v>
      </c>
      <c r="I41" s="28">
        <v>0.0</v>
      </c>
      <c r="J41" s="28">
        <v>0.61</v>
      </c>
      <c r="K41" s="28">
        <v>0.57</v>
      </c>
      <c r="L41" s="28">
        <v>0.485</v>
      </c>
      <c r="M41" s="28">
        <v>0.395</v>
      </c>
      <c r="N41" s="28">
        <v>0.34</v>
      </c>
    </row>
    <row r="42" ht="12.75" customHeight="1">
      <c r="B42" s="6"/>
      <c r="C42" s="6"/>
      <c r="D42" s="6"/>
      <c r="E42" s="6"/>
      <c r="F42" s="6"/>
      <c r="G42" s="26"/>
      <c r="H42" s="26"/>
      <c r="I42" s="26"/>
      <c r="J42" s="6"/>
      <c r="K42" s="6"/>
      <c r="L42" s="6"/>
      <c r="M42" s="6"/>
      <c r="N42" s="6"/>
    </row>
    <row r="43" ht="12.75" customHeight="1">
      <c r="B43" s="6"/>
      <c r="C43" s="6"/>
      <c r="D43" s="6"/>
      <c r="E43" s="6"/>
      <c r="F43" s="6"/>
      <c r="G43" s="26"/>
      <c r="H43" s="26"/>
      <c r="I43" s="26"/>
      <c r="J43" s="6"/>
      <c r="K43" s="6"/>
      <c r="L43" s="6"/>
      <c r="M43" s="6"/>
      <c r="N43" s="6"/>
      <c r="O43" s="29" t="s">
        <v>33</v>
      </c>
    </row>
    <row r="44" ht="12.75" customHeight="1">
      <c r="A44" s="11" t="s">
        <v>34</v>
      </c>
      <c r="B44" s="30">
        <v>0.5</v>
      </c>
      <c r="C44" s="30">
        <v>1.3</v>
      </c>
      <c r="D44" s="30">
        <v>1.25</v>
      </c>
      <c r="E44" s="31">
        <f t="shared" ref="E44:M44" si="24">E5/F5-1</f>
        <v>1.258545266</v>
      </c>
      <c r="F44" s="31">
        <f t="shared" si="24"/>
        <v>0.002229323029</v>
      </c>
      <c r="G44" s="31">
        <f t="shared" si="24"/>
        <v>0.6140329835</v>
      </c>
      <c r="H44" s="31">
        <f t="shared" si="24"/>
        <v>0.5272943763</v>
      </c>
      <c r="I44" s="31">
        <f t="shared" si="24"/>
        <v>-0.06811198361</v>
      </c>
      <c r="J44" s="31">
        <f t="shared" si="24"/>
        <v>0.2060942969</v>
      </c>
      <c r="K44" s="31">
        <f t="shared" si="24"/>
        <v>0.405788712</v>
      </c>
      <c r="L44" s="31">
        <f t="shared" si="24"/>
        <v>0.379241517</v>
      </c>
      <c r="M44" s="31">
        <f t="shared" si="24"/>
        <v>0.07005553182</v>
      </c>
      <c r="N44" s="2"/>
      <c r="O44" s="32">
        <f>AVERAGE(E44:N44)</f>
        <v>0.3772411136</v>
      </c>
    </row>
    <row r="45" ht="12.75" customHeight="1">
      <c r="A45" s="33" t="s">
        <v>35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2.75" customHeight="1">
      <c r="A46" s="11" t="s">
        <v>36</v>
      </c>
      <c r="B46" s="30">
        <v>0.65</v>
      </c>
      <c r="C46" s="30">
        <v>0.7005</v>
      </c>
      <c r="D46" s="30">
        <v>0.74</v>
      </c>
      <c r="E46" s="31">
        <f t="shared" ref="E46:N46" si="25">E7/E5</f>
        <v>0.7271757329</v>
      </c>
      <c r="F46" s="31">
        <f t="shared" si="25"/>
        <v>0.5692889449</v>
      </c>
      <c r="G46" s="31">
        <f t="shared" si="25"/>
        <v>0.6492903322</v>
      </c>
      <c r="H46" s="31">
        <f t="shared" si="25"/>
        <v>0.6234482759</v>
      </c>
      <c r="I46" s="31">
        <f t="shared" si="25"/>
        <v>0.6198937534</v>
      </c>
      <c r="J46" s="31">
        <f t="shared" si="25"/>
        <v>0.6120689655</v>
      </c>
      <c r="K46" s="31">
        <f t="shared" si="25"/>
        <v>0.5993411571</v>
      </c>
      <c r="L46" s="31">
        <f t="shared" si="25"/>
        <v>0.5879884226</v>
      </c>
      <c r="M46" s="31">
        <f t="shared" si="25"/>
        <v>0.5610778443</v>
      </c>
      <c r="N46" s="31">
        <f t="shared" si="25"/>
        <v>0.5551046561</v>
      </c>
      <c r="O46" s="32">
        <f t="shared" ref="O46:O53" si="27">AVERAGE(E46:N46)</f>
        <v>0.6104678085</v>
      </c>
    </row>
    <row r="47" ht="12.75" customHeight="1">
      <c r="A47" s="11" t="s">
        <v>11</v>
      </c>
      <c r="B47" s="30">
        <v>0.21</v>
      </c>
      <c r="C47" s="30">
        <v>0.195</v>
      </c>
      <c r="D47" s="30">
        <v>0.1</v>
      </c>
      <c r="E47" s="31">
        <f t="shared" ref="E47:N47" si="26">E10/E$5</f>
        <v>0.1423951939</v>
      </c>
      <c r="F47" s="31">
        <f t="shared" si="26"/>
        <v>0.2720768147</v>
      </c>
      <c r="G47" s="31">
        <f t="shared" si="26"/>
        <v>0.1957345619</v>
      </c>
      <c r="H47" s="31">
        <f t="shared" si="26"/>
        <v>0.2353223388</v>
      </c>
      <c r="I47" s="31">
        <f t="shared" si="26"/>
        <v>0.2591133907</v>
      </c>
      <c r="J47" s="31">
        <f t="shared" si="26"/>
        <v>0.2027995903</v>
      </c>
      <c r="K47" s="31">
        <f t="shared" si="26"/>
        <v>0.184990735</v>
      </c>
      <c r="L47" s="31">
        <f t="shared" si="26"/>
        <v>0.2117221418</v>
      </c>
      <c r="M47" s="31">
        <f t="shared" si="26"/>
        <v>0.2656686627</v>
      </c>
      <c r="N47" s="31">
        <f t="shared" si="26"/>
        <v>0.2904741563</v>
      </c>
      <c r="O47" s="32">
        <f t="shared" si="27"/>
        <v>0.2260297586</v>
      </c>
    </row>
    <row r="48" ht="12.75" customHeight="1">
      <c r="A48" s="11" t="s">
        <v>12</v>
      </c>
      <c r="B48" s="30">
        <v>0.0918</v>
      </c>
      <c r="C48" s="30">
        <v>0.0918</v>
      </c>
      <c r="D48" s="30">
        <v>0.0276</v>
      </c>
      <c r="E48" s="31">
        <f t="shared" ref="E48:N48" si="28">E11/E$5</f>
        <v>0.04356390138</v>
      </c>
      <c r="F48" s="31">
        <f t="shared" si="28"/>
        <v>0.09045747757</v>
      </c>
      <c r="G48" s="31">
        <f t="shared" si="28"/>
        <v>0.08047856134</v>
      </c>
      <c r="H48" s="31">
        <f t="shared" si="28"/>
        <v>0.1163418291</v>
      </c>
      <c r="I48" s="31">
        <f t="shared" si="28"/>
        <v>0.1001099102</v>
      </c>
      <c r="J48" s="31">
        <f t="shared" si="28"/>
        <v>0.08458518266</v>
      </c>
      <c r="K48" s="31">
        <f t="shared" si="28"/>
        <v>0.08389952646</v>
      </c>
      <c r="L48" s="31">
        <f t="shared" si="28"/>
        <v>0.09594790159</v>
      </c>
      <c r="M48" s="31">
        <f t="shared" si="28"/>
        <v>0.1201596806</v>
      </c>
      <c r="N48" s="31">
        <f t="shared" si="28"/>
        <v>0.1025202905</v>
      </c>
      <c r="O48" s="32">
        <f t="shared" si="27"/>
        <v>0.09180642614</v>
      </c>
    </row>
    <row r="49" ht="12.75" customHeight="1">
      <c r="A49" s="11" t="s">
        <v>13</v>
      </c>
      <c r="B49" s="30">
        <v>0.0</v>
      </c>
      <c r="C49" s="30">
        <v>0.0</v>
      </c>
      <c r="D49" s="30">
        <v>0.0</v>
      </c>
      <c r="E49" s="31">
        <f t="shared" ref="E49:N49" si="29">E12/E$5</f>
        <v>0</v>
      </c>
      <c r="F49" s="31">
        <f t="shared" si="29"/>
        <v>0</v>
      </c>
      <c r="G49" s="31">
        <f t="shared" si="29"/>
        <v>0</v>
      </c>
      <c r="H49" s="31">
        <f t="shared" si="29"/>
        <v>0</v>
      </c>
      <c r="I49" s="31">
        <f t="shared" si="29"/>
        <v>0</v>
      </c>
      <c r="J49" s="31">
        <f t="shared" si="29"/>
        <v>0</v>
      </c>
      <c r="K49" s="31">
        <f t="shared" si="29"/>
        <v>0</v>
      </c>
      <c r="L49" s="31">
        <f t="shared" si="29"/>
        <v>0.0004341534009</v>
      </c>
      <c r="M49" s="31">
        <f t="shared" si="29"/>
        <v>0.02614770459</v>
      </c>
      <c r="N49" s="31">
        <f t="shared" si="29"/>
        <v>0</v>
      </c>
      <c r="O49" s="32">
        <f t="shared" si="27"/>
        <v>0.002658185799</v>
      </c>
    </row>
    <row r="50" ht="12.75" customHeight="1">
      <c r="A50" s="11" t="s">
        <v>14</v>
      </c>
      <c r="B50" s="30">
        <v>0.0</v>
      </c>
      <c r="C50" s="30">
        <v>0.0</v>
      </c>
      <c r="D50" s="30">
        <v>0.0</v>
      </c>
      <c r="E50" s="31">
        <f t="shared" ref="E50:N50" si="30">E13/E$5</f>
        <v>0</v>
      </c>
      <c r="F50" s="31">
        <f t="shared" si="30"/>
        <v>0.05015941277</v>
      </c>
      <c r="G50" s="31">
        <f t="shared" si="30"/>
        <v>0</v>
      </c>
      <c r="H50" s="31">
        <f t="shared" si="30"/>
        <v>0</v>
      </c>
      <c r="I50" s="31">
        <f t="shared" si="30"/>
        <v>0</v>
      </c>
      <c r="J50" s="31">
        <f t="shared" si="30"/>
        <v>0</v>
      </c>
      <c r="K50" s="31">
        <f t="shared" si="30"/>
        <v>0</v>
      </c>
      <c r="L50" s="31">
        <f t="shared" si="30"/>
        <v>0</v>
      </c>
      <c r="M50" s="31">
        <f t="shared" si="30"/>
        <v>0</v>
      </c>
      <c r="N50" s="31">
        <f t="shared" si="30"/>
        <v>0</v>
      </c>
      <c r="O50" s="32">
        <f t="shared" si="27"/>
        <v>0.005015941277</v>
      </c>
    </row>
    <row r="51" ht="12.75" customHeight="1">
      <c r="A51" s="11" t="s">
        <v>17</v>
      </c>
      <c r="B51" s="30">
        <v>0.009</v>
      </c>
      <c r="C51" s="30">
        <v>0.006</v>
      </c>
      <c r="D51" s="30">
        <v>0.014</v>
      </c>
      <c r="E51" s="31">
        <f t="shared" ref="E51:N51" si="31">E18/E$5</f>
        <v>0.01421489774</v>
      </c>
      <c r="F51" s="31">
        <f t="shared" si="31"/>
        <v>0.009898420701</v>
      </c>
      <c r="G51" s="31">
        <f t="shared" si="31"/>
        <v>0.001077506131</v>
      </c>
      <c r="H51" s="31">
        <f t="shared" si="31"/>
        <v>0.003418290855</v>
      </c>
      <c r="I51" s="31">
        <f t="shared" si="31"/>
        <v>0.01630335226</v>
      </c>
      <c r="J51" s="31">
        <f t="shared" si="31"/>
        <v>0.01160805736</v>
      </c>
      <c r="K51" s="31">
        <f t="shared" si="31"/>
        <v>0.007103150093</v>
      </c>
      <c r="L51" s="31">
        <f t="shared" si="31"/>
        <v>0.007814761216</v>
      </c>
      <c r="M51" s="31">
        <f t="shared" si="31"/>
        <v>0.007784431138</v>
      </c>
      <c r="N51" s="31">
        <f t="shared" si="31"/>
        <v>0.005980350278</v>
      </c>
      <c r="O51" s="32">
        <f t="shared" si="27"/>
        <v>0.008520321777</v>
      </c>
    </row>
    <row r="52" ht="12.75" customHeight="1">
      <c r="A52" s="11" t="s">
        <v>18</v>
      </c>
      <c r="B52" s="30">
        <v>-0.0077</v>
      </c>
      <c r="C52" s="30">
        <v>-0.0077</v>
      </c>
      <c r="D52" s="30">
        <v>-0.002</v>
      </c>
      <c r="E52" s="31">
        <f t="shared" ref="E52:N52" si="32">E19/E$5</f>
        <v>-0.004218508913</v>
      </c>
      <c r="F52" s="31">
        <f t="shared" si="32"/>
        <v>-0.009713057018</v>
      </c>
      <c r="G52" s="31">
        <f t="shared" si="32"/>
        <v>-0.00876867058</v>
      </c>
      <c r="H52" s="31">
        <f t="shared" si="32"/>
        <v>-0.01103448276</v>
      </c>
      <c r="I52" s="31">
        <f t="shared" si="32"/>
        <v>-0.004762777065</v>
      </c>
      <c r="J52" s="31">
        <f t="shared" si="32"/>
        <v>-0.00495049505</v>
      </c>
      <c r="K52" s="31">
        <f t="shared" si="32"/>
        <v>-0.006279596459</v>
      </c>
      <c r="L52" s="31">
        <f t="shared" si="32"/>
        <v>-0.008393632417</v>
      </c>
      <c r="M52" s="31">
        <f t="shared" si="32"/>
        <v>-0.009381237525</v>
      </c>
      <c r="N52" s="31">
        <f t="shared" si="32"/>
        <v>-0.00982486117</v>
      </c>
      <c r="O52" s="32">
        <f t="shared" si="27"/>
        <v>-0.007732731896</v>
      </c>
    </row>
    <row r="53" ht="12.75" customHeight="1">
      <c r="A53" s="11" t="s">
        <v>19</v>
      </c>
      <c r="B53" s="30">
        <v>-2.0E-4</v>
      </c>
      <c r="C53" s="30">
        <v>4.0E-4</v>
      </c>
      <c r="D53" s="30">
        <v>0.0033</v>
      </c>
      <c r="E53" s="31">
        <f t="shared" ref="E53:N53" si="33">E20/E$5</f>
        <v>0.003890220282</v>
      </c>
      <c r="F53" s="31">
        <f t="shared" si="33"/>
        <v>-0.001779491362</v>
      </c>
      <c r="G53" s="31">
        <f t="shared" si="33"/>
        <v>0.003975626068</v>
      </c>
      <c r="H53" s="31">
        <f t="shared" si="33"/>
        <v>0.00023988006</v>
      </c>
      <c r="I53" s="31">
        <f t="shared" si="33"/>
        <v>-0.0001831837333</v>
      </c>
      <c r="J53" s="31">
        <f t="shared" si="33"/>
        <v>0.001194947081</v>
      </c>
      <c r="K53" s="31">
        <f t="shared" si="33"/>
        <v>-0.002264772493</v>
      </c>
      <c r="L53" s="31">
        <f t="shared" si="33"/>
        <v>-0.003617945007</v>
      </c>
      <c r="M53" s="31">
        <f t="shared" si="33"/>
        <v>0.0007984031936</v>
      </c>
      <c r="N53" s="31">
        <f t="shared" si="33"/>
        <v>0.002990175139</v>
      </c>
      <c r="O53" s="32">
        <f t="shared" si="27"/>
        <v>0.0005243859227</v>
      </c>
    </row>
    <row r="54" ht="12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2"/>
    </row>
    <row r="55" ht="12.75" customHeight="1">
      <c r="A55" s="11" t="s">
        <v>37</v>
      </c>
      <c r="B55" s="31">
        <f t="shared" ref="B55:N55" si="34">B16/B5</f>
        <v>0.3482</v>
      </c>
      <c r="C55" s="31">
        <f t="shared" si="34"/>
        <v>0.4137</v>
      </c>
      <c r="D55" s="31">
        <f t="shared" si="34"/>
        <v>0.6124</v>
      </c>
      <c r="E55" s="31">
        <f t="shared" si="34"/>
        <v>0.5412166377</v>
      </c>
      <c r="F55" s="31">
        <f t="shared" si="34"/>
        <v>0.1565952399</v>
      </c>
      <c r="G55" s="31">
        <f t="shared" si="34"/>
        <v>0.3730772089</v>
      </c>
      <c r="H55" s="31">
        <f t="shared" si="34"/>
        <v>0.2717841079</v>
      </c>
      <c r="I55" s="31">
        <f t="shared" si="34"/>
        <v>0.2606704525</v>
      </c>
      <c r="J55" s="31">
        <f t="shared" si="34"/>
        <v>0.3246841926</v>
      </c>
      <c r="K55" s="31">
        <f t="shared" si="34"/>
        <v>0.3304508956</v>
      </c>
      <c r="L55" s="31">
        <f t="shared" si="34"/>
        <v>0.2798842258</v>
      </c>
      <c r="M55" s="31">
        <f t="shared" si="34"/>
        <v>0.1491017964</v>
      </c>
      <c r="N55" s="31">
        <f t="shared" si="34"/>
        <v>0.1621102093</v>
      </c>
      <c r="O55" s="32">
        <f>AVERAGE(E55:N55)</f>
        <v>0.2849574966</v>
      </c>
    </row>
    <row r="56" ht="12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4"/>
    </row>
    <row r="57" ht="12.75" customHeight="1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6"/>
    </row>
    <row r="58" ht="12.75" customHeight="1">
      <c r="A58" s="37" t="s">
        <v>38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2.75" customHeight="1">
      <c r="A59" s="11" t="s">
        <v>34</v>
      </c>
      <c r="B59" s="26">
        <f t="shared" ref="B59:M59" si="35">B44-C44</f>
        <v>-0.8</v>
      </c>
      <c r="C59" s="26">
        <f t="shared" si="35"/>
        <v>0.05</v>
      </c>
      <c r="D59" s="26">
        <f t="shared" si="35"/>
        <v>-0.008545265812</v>
      </c>
      <c r="E59" s="26">
        <f t="shared" si="35"/>
        <v>1.256315943</v>
      </c>
      <c r="F59" s="26">
        <f t="shared" si="35"/>
        <v>-0.6118036605</v>
      </c>
      <c r="G59" s="26">
        <f t="shared" si="35"/>
        <v>0.08673860725</v>
      </c>
      <c r="H59" s="26">
        <f t="shared" si="35"/>
        <v>0.5954063599</v>
      </c>
      <c r="I59" s="26">
        <f t="shared" si="35"/>
        <v>-0.2742062805</v>
      </c>
      <c r="J59" s="26">
        <f t="shared" si="35"/>
        <v>-0.1996944151</v>
      </c>
      <c r="K59" s="26">
        <f t="shared" si="35"/>
        <v>0.02654719505</v>
      </c>
      <c r="L59" s="26">
        <f t="shared" si="35"/>
        <v>0.3091859851</v>
      </c>
      <c r="M59" s="26">
        <f t="shared" si="35"/>
        <v>0.07005553182</v>
      </c>
      <c r="N59" s="2"/>
      <c r="O59" s="32">
        <f>AVERAGE(E59:M59)</f>
        <v>0.1398383629</v>
      </c>
    </row>
    <row r="60" ht="12.75" customHeight="1">
      <c r="A60" s="33" t="s">
        <v>35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"/>
      <c r="O60" s="32"/>
    </row>
    <row r="61" ht="12.75" customHeight="1">
      <c r="A61" s="11" t="s">
        <v>36</v>
      </c>
      <c r="B61" s="26">
        <f t="shared" ref="B61:M61" si="36">B46-C46</f>
        <v>-0.0505</v>
      </c>
      <c r="C61" s="26">
        <f t="shared" si="36"/>
        <v>-0.0395</v>
      </c>
      <c r="D61" s="26">
        <f t="shared" si="36"/>
        <v>0.0128242671</v>
      </c>
      <c r="E61" s="26">
        <f t="shared" si="36"/>
        <v>0.157886788</v>
      </c>
      <c r="F61" s="26">
        <f t="shared" si="36"/>
        <v>-0.08000138726</v>
      </c>
      <c r="G61" s="26">
        <f t="shared" si="36"/>
        <v>0.02584205631</v>
      </c>
      <c r="H61" s="26">
        <f t="shared" si="36"/>
        <v>0.003554522427</v>
      </c>
      <c r="I61" s="26">
        <f t="shared" si="36"/>
        <v>0.007824787917</v>
      </c>
      <c r="J61" s="26">
        <f t="shared" si="36"/>
        <v>0.01272780842</v>
      </c>
      <c r="K61" s="26">
        <f t="shared" si="36"/>
        <v>0.01135273452</v>
      </c>
      <c r="L61" s="26">
        <f t="shared" si="36"/>
        <v>0.02691057826</v>
      </c>
      <c r="M61" s="26">
        <f t="shared" si="36"/>
        <v>0.005973188182</v>
      </c>
      <c r="N61" s="2"/>
      <c r="O61" s="32">
        <f t="shared" ref="O61:O68" si="38">AVERAGE(E61:M61)</f>
        <v>0.01911900853</v>
      </c>
    </row>
    <row r="62" ht="12.75" customHeight="1">
      <c r="A62" s="11" t="s">
        <v>11</v>
      </c>
      <c r="B62" s="26">
        <f t="shared" ref="B62:M62" si="37">B47-C47</f>
        <v>0.015</v>
      </c>
      <c r="C62" s="26">
        <f t="shared" si="37"/>
        <v>0.095</v>
      </c>
      <c r="D62" s="26">
        <f t="shared" si="37"/>
        <v>-0.04239519385</v>
      </c>
      <c r="E62" s="26">
        <f t="shared" si="37"/>
        <v>-0.1296816209</v>
      </c>
      <c r="F62" s="26">
        <f t="shared" si="37"/>
        <v>0.07634225277</v>
      </c>
      <c r="G62" s="26">
        <f t="shared" si="37"/>
        <v>-0.03958777689</v>
      </c>
      <c r="H62" s="26">
        <f t="shared" si="37"/>
        <v>-0.0237910519</v>
      </c>
      <c r="I62" s="26">
        <f t="shared" si="37"/>
        <v>0.05631380043</v>
      </c>
      <c r="J62" s="26">
        <f t="shared" si="37"/>
        <v>0.01780885528</v>
      </c>
      <c r="K62" s="26">
        <f t="shared" si="37"/>
        <v>-0.0267314068</v>
      </c>
      <c r="L62" s="26">
        <f t="shared" si="37"/>
        <v>-0.05394652085</v>
      </c>
      <c r="M62" s="26">
        <f t="shared" si="37"/>
        <v>-0.02480549367</v>
      </c>
      <c r="N62" s="2"/>
      <c r="O62" s="32">
        <f t="shared" si="38"/>
        <v>-0.01645321805</v>
      </c>
    </row>
    <row r="63" ht="12.75" customHeight="1">
      <c r="A63" s="11" t="s">
        <v>12</v>
      </c>
      <c r="B63" s="26">
        <f t="shared" ref="B63:M63" si="39">B48-C48</f>
        <v>0</v>
      </c>
      <c r="C63" s="26">
        <f t="shared" si="39"/>
        <v>0.0642</v>
      </c>
      <c r="D63" s="26">
        <f t="shared" si="39"/>
        <v>-0.01596390138</v>
      </c>
      <c r="E63" s="26">
        <f t="shared" si="39"/>
        <v>-0.04689357619</v>
      </c>
      <c r="F63" s="26">
        <f t="shared" si="39"/>
        <v>0.009978916227</v>
      </c>
      <c r="G63" s="26">
        <f t="shared" si="39"/>
        <v>-0.03586326774</v>
      </c>
      <c r="H63" s="26">
        <f t="shared" si="39"/>
        <v>0.01623191885</v>
      </c>
      <c r="I63" s="26">
        <f t="shared" si="39"/>
        <v>0.01552472758</v>
      </c>
      <c r="J63" s="26">
        <f t="shared" si="39"/>
        <v>0.0006856561995</v>
      </c>
      <c r="K63" s="26">
        <f t="shared" si="39"/>
        <v>-0.01204837514</v>
      </c>
      <c r="L63" s="26">
        <f t="shared" si="39"/>
        <v>-0.02421177905</v>
      </c>
      <c r="M63" s="26">
        <f t="shared" si="39"/>
        <v>0.01763939016</v>
      </c>
      <c r="N63" s="2"/>
      <c r="O63" s="32">
        <f t="shared" si="38"/>
        <v>-0.006550709899</v>
      </c>
    </row>
    <row r="64" ht="12.75" customHeight="1">
      <c r="A64" s="11" t="s">
        <v>13</v>
      </c>
      <c r="B64" s="26">
        <f t="shared" ref="B64:M64" si="40">B49-C49</f>
        <v>0</v>
      </c>
      <c r="C64" s="26">
        <f t="shared" si="40"/>
        <v>0</v>
      </c>
      <c r="D64" s="26">
        <f t="shared" si="40"/>
        <v>0</v>
      </c>
      <c r="E64" s="26">
        <f t="shared" si="40"/>
        <v>0</v>
      </c>
      <c r="F64" s="26">
        <f t="shared" si="40"/>
        <v>0</v>
      </c>
      <c r="G64" s="26">
        <f t="shared" si="40"/>
        <v>0</v>
      </c>
      <c r="H64" s="26">
        <f t="shared" si="40"/>
        <v>0</v>
      </c>
      <c r="I64" s="26">
        <f t="shared" si="40"/>
        <v>0</v>
      </c>
      <c r="J64" s="26">
        <f t="shared" si="40"/>
        <v>0</v>
      </c>
      <c r="K64" s="26">
        <f t="shared" si="40"/>
        <v>-0.0004341534009</v>
      </c>
      <c r="L64" s="26">
        <f t="shared" si="40"/>
        <v>-0.02571355119</v>
      </c>
      <c r="M64" s="26">
        <f t="shared" si="40"/>
        <v>0.02614770459</v>
      </c>
      <c r="N64" s="2"/>
      <c r="O64" s="32">
        <f t="shared" si="38"/>
        <v>0</v>
      </c>
    </row>
    <row r="65" ht="12.75" customHeight="1">
      <c r="A65" s="11" t="s">
        <v>14</v>
      </c>
      <c r="B65" s="26">
        <f t="shared" ref="B65:M65" si="41">B50-C50</f>
        <v>0</v>
      </c>
      <c r="C65" s="26">
        <f t="shared" si="41"/>
        <v>0</v>
      </c>
      <c r="D65" s="26">
        <f t="shared" si="41"/>
        <v>0</v>
      </c>
      <c r="E65" s="26">
        <f t="shared" si="41"/>
        <v>-0.05015941277</v>
      </c>
      <c r="F65" s="26">
        <f t="shared" si="41"/>
        <v>0.05015941277</v>
      </c>
      <c r="G65" s="26">
        <f t="shared" si="41"/>
        <v>0</v>
      </c>
      <c r="H65" s="26">
        <f t="shared" si="41"/>
        <v>0</v>
      </c>
      <c r="I65" s="26">
        <f t="shared" si="41"/>
        <v>0</v>
      </c>
      <c r="J65" s="26">
        <f t="shared" si="41"/>
        <v>0</v>
      </c>
      <c r="K65" s="26">
        <f t="shared" si="41"/>
        <v>0</v>
      </c>
      <c r="L65" s="26">
        <f t="shared" si="41"/>
        <v>0</v>
      </c>
      <c r="M65" s="26">
        <f t="shared" si="41"/>
        <v>0</v>
      </c>
      <c r="N65" s="2"/>
      <c r="O65" s="32">
        <f t="shared" si="38"/>
        <v>0</v>
      </c>
    </row>
    <row r="66" ht="12.75" customHeight="1">
      <c r="A66" s="11" t="s">
        <v>17</v>
      </c>
      <c r="B66" s="26">
        <f t="shared" ref="B66:M66" si="42">B51-C51</f>
        <v>0.003</v>
      </c>
      <c r="C66" s="26">
        <f t="shared" si="42"/>
        <v>-0.008</v>
      </c>
      <c r="D66" s="26">
        <f t="shared" si="42"/>
        <v>-0.0002148977381</v>
      </c>
      <c r="E66" s="26">
        <f t="shared" si="42"/>
        <v>0.004316477037</v>
      </c>
      <c r="F66" s="26">
        <f t="shared" si="42"/>
        <v>0.008820914571</v>
      </c>
      <c r="G66" s="26">
        <f t="shared" si="42"/>
        <v>-0.002340784724</v>
      </c>
      <c r="H66" s="26">
        <f t="shared" si="42"/>
        <v>-0.01288506141</v>
      </c>
      <c r="I66" s="26">
        <f t="shared" si="42"/>
        <v>0.004695294905</v>
      </c>
      <c r="J66" s="26">
        <f t="shared" si="42"/>
        <v>0.004504907265</v>
      </c>
      <c r="K66" s="26">
        <f t="shared" si="42"/>
        <v>-0.000711611123</v>
      </c>
      <c r="L66" s="26">
        <f t="shared" si="42"/>
        <v>0.0000303300779</v>
      </c>
      <c r="M66" s="26">
        <f t="shared" si="42"/>
        <v>0.00180408086</v>
      </c>
      <c r="N66" s="31"/>
      <c r="O66" s="32">
        <f t="shared" si="38"/>
        <v>0.0009149497178</v>
      </c>
    </row>
    <row r="67" ht="12.75" customHeight="1">
      <c r="A67" s="11" t="s">
        <v>18</v>
      </c>
      <c r="B67" s="26">
        <f t="shared" ref="B67:M67" si="43">B52-C52</f>
        <v>0</v>
      </c>
      <c r="C67" s="26">
        <f t="shared" si="43"/>
        <v>-0.0057</v>
      </c>
      <c r="D67" s="26">
        <f t="shared" si="43"/>
        <v>0.002218508913</v>
      </c>
      <c r="E67" s="26">
        <f t="shared" si="43"/>
        <v>0.005494548105</v>
      </c>
      <c r="F67" s="26">
        <f t="shared" si="43"/>
        <v>-0.0009443864375</v>
      </c>
      <c r="G67" s="26">
        <f t="shared" si="43"/>
        <v>0.002265812178</v>
      </c>
      <c r="H67" s="26">
        <f t="shared" si="43"/>
        <v>-0.006271705693</v>
      </c>
      <c r="I67" s="26">
        <f t="shared" si="43"/>
        <v>0.0001877179841</v>
      </c>
      <c r="J67" s="26">
        <f t="shared" si="43"/>
        <v>0.001329101409</v>
      </c>
      <c r="K67" s="26">
        <f t="shared" si="43"/>
        <v>0.002114035958</v>
      </c>
      <c r="L67" s="26">
        <f t="shared" si="43"/>
        <v>0.0009876051082</v>
      </c>
      <c r="M67" s="26">
        <f t="shared" si="43"/>
        <v>0.0004436236455</v>
      </c>
      <c r="N67" s="31"/>
      <c r="O67" s="32">
        <f t="shared" si="38"/>
        <v>0.0006229280286</v>
      </c>
    </row>
    <row r="68" ht="12.75" customHeight="1">
      <c r="A68" s="11" t="s">
        <v>19</v>
      </c>
      <c r="B68" s="26">
        <f t="shared" ref="B68:M68" si="44">B53-C53</f>
        <v>-0.0006</v>
      </c>
      <c r="C68" s="26">
        <f t="shared" si="44"/>
        <v>-0.0029</v>
      </c>
      <c r="D68" s="26">
        <f t="shared" si="44"/>
        <v>-0.0005902202817</v>
      </c>
      <c r="E68" s="26">
        <f t="shared" si="44"/>
        <v>0.005669711644</v>
      </c>
      <c r="F68" s="26">
        <f t="shared" si="44"/>
        <v>-0.00575511743</v>
      </c>
      <c r="G68" s="26">
        <f t="shared" si="44"/>
        <v>0.003735746008</v>
      </c>
      <c r="H68" s="26">
        <f t="shared" si="44"/>
        <v>0.0004230637933</v>
      </c>
      <c r="I68" s="26">
        <f t="shared" si="44"/>
        <v>-0.001378130814</v>
      </c>
      <c r="J68" s="26">
        <f t="shared" si="44"/>
        <v>0.003459719574</v>
      </c>
      <c r="K68" s="26">
        <f t="shared" si="44"/>
        <v>0.001353172514</v>
      </c>
      <c r="L68" s="26">
        <f t="shared" si="44"/>
        <v>-0.004416348201</v>
      </c>
      <c r="M68" s="26">
        <f t="shared" si="44"/>
        <v>-0.002191771945</v>
      </c>
      <c r="N68" s="31"/>
      <c r="O68" s="32">
        <f t="shared" si="38"/>
        <v>0.0001000050159</v>
      </c>
    </row>
    <row r="69" ht="12.75" customHeight="1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"/>
      <c r="O69" s="32"/>
    </row>
    <row r="70" ht="12.75" customHeight="1">
      <c r="A70" s="11" t="s">
        <v>37</v>
      </c>
      <c r="B70" s="26">
        <f t="shared" ref="B70:M70" si="45">B55-C55</f>
        <v>-0.0655</v>
      </c>
      <c r="C70" s="26">
        <f t="shared" si="45"/>
        <v>-0.1987</v>
      </c>
      <c r="D70" s="26">
        <f t="shared" si="45"/>
        <v>0.07118336233</v>
      </c>
      <c r="E70" s="26">
        <f t="shared" si="45"/>
        <v>0.3846213978</v>
      </c>
      <c r="F70" s="26">
        <f t="shared" si="45"/>
        <v>-0.216481969</v>
      </c>
      <c r="G70" s="26">
        <f t="shared" si="45"/>
        <v>0.1012931009</v>
      </c>
      <c r="H70" s="26">
        <f t="shared" si="45"/>
        <v>0.01111365548</v>
      </c>
      <c r="I70" s="26">
        <f t="shared" si="45"/>
        <v>-0.06401374009</v>
      </c>
      <c r="J70" s="26">
        <f t="shared" si="45"/>
        <v>-0.005766703057</v>
      </c>
      <c r="K70" s="26">
        <f t="shared" si="45"/>
        <v>0.05056666985</v>
      </c>
      <c r="L70" s="26">
        <f t="shared" si="45"/>
        <v>0.1307824294</v>
      </c>
      <c r="M70" s="26">
        <f t="shared" si="45"/>
        <v>-0.01300841291</v>
      </c>
      <c r="N70" s="2"/>
      <c r="O70" s="32">
        <f>AVERAGE(E70:M70)</f>
        <v>0.04212293648</v>
      </c>
    </row>
    <row r="71" ht="12.75" customHeight="1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6"/>
    </row>
    <row r="72" ht="12.75" customHeight="1">
      <c r="B72" s="6"/>
      <c r="C72" s="6"/>
      <c r="D72" s="6"/>
      <c r="E72" s="7"/>
      <c r="F72" s="7"/>
      <c r="G72" s="6"/>
      <c r="H72" s="6"/>
      <c r="I72" s="6"/>
      <c r="J72" s="6"/>
      <c r="K72" s="6"/>
      <c r="L72" s="6"/>
      <c r="M72" s="6"/>
      <c r="N72" s="6"/>
      <c r="O72" s="34"/>
    </row>
    <row r="73" ht="12.75" customHeight="1">
      <c r="A73" s="38" t="s">
        <v>39</v>
      </c>
      <c r="B73" s="39">
        <v>0.14</v>
      </c>
      <c r="C73" s="39">
        <v>0.15</v>
      </c>
      <c r="D73" s="39">
        <v>0.145</v>
      </c>
      <c r="E73" s="40">
        <f t="shared" ref="E73:N73" si="46">E25/E23</f>
        <v>0.1199952688</v>
      </c>
      <c r="F73" s="40">
        <f t="shared" si="46"/>
        <v>-0.04472614207</v>
      </c>
      <c r="G73" s="40">
        <f t="shared" si="46"/>
        <v>0.01901217181</v>
      </c>
      <c r="H73" s="40">
        <f t="shared" si="46"/>
        <v>0.01746427761</v>
      </c>
      <c r="I73" s="40">
        <f t="shared" si="46"/>
        <v>0.05858585859</v>
      </c>
      <c r="J73" s="40">
        <f t="shared" si="46"/>
        <v>-0.06288501027</v>
      </c>
      <c r="K73" s="40">
        <f t="shared" si="46"/>
        <v>0.04662077597</v>
      </c>
      <c r="L73" s="40">
        <f t="shared" si="46"/>
        <v>0.1254593176</v>
      </c>
      <c r="M73" s="40">
        <f t="shared" si="46"/>
        <v>0.1736204576</v>
      </c>
      <c r="N73" s="40">
        <f t="shared" si="46"/>
        <v>0.1642384106</v>
      </c>
      <c r="O73" s="32">
        <f>AVERAGE(E73:N73)</f>
        <v>0.06173853862</v>
      </c>
      <c r="P73" s="40"/>
      <c r="Q73" s="40"/>
      <c r="R73" s="40"/>
      <c r="S73" s="40"/>
    </row>
    <row r="74" ht="12.75" customHeight="1">
      <c r="A74" s="38"/>
      <c r="B74" s="41"/>
      <c r="C74" s="41"/>
      <c r="D74" s="41"/>
      <c r="E74" s="41"/>
      <c r="F74" s="41"/>
      <c r="G74" s="42"/>
      <c r="H74" s="42"/>
      <c r="I74" s="42"/>
      <c r="J74" s="42"/>
      <c r="K74" s="42"/>
      <c r="L74" s="42"/>
      <c r="M74" s="42"/>
      <c r="N74" s="42"/>
      <c r="O74" s="43"/>
      <c r="P74" s="44"/>
      <c r="Q74" s="44"/>
      <c r="R74" s="44"/>
      <c r="S74" s="44"/>
    </row>
    <row r="75" ht="12.75" customHeight="1">
      <c r="A75" s="45" t="s">
        <v>40</v>
      </c>
      <c r="B75" s="46">
        <f t="shared" ref="B75:D75" si="47">B5*B76</f>
        <v>18112.33906</v>
      </c>
      <c r="C75" s="46">
        <f t="shared" si="47"/>
        <v>12074.89271</v>
      </c>
      <c r="D75" s="46">
        <f t="shared" si="47"/>
        <v>5249.95335</v>
      </c>
      <c r="E75" s="47">
        <v>1508.0</v>
      </c>
      <c r="F75" s="47">
        <v>1544.0</v>
      </c>
      <c r="G75" s="47">
        <v>1174.0</v>
      </c>
      <c r="H75" s="47">
        <v>1098.0</v>
      </c>
      <c r="I75" s="47">
        <v>381.0</v>
      </c>
      <c r="J75" s="47">
        <v>262.0</v>
      </c>
      <c r="K75" s="47">
        <v>199.0</v>
      </c>
      <c r="L75" s="47">
        <v>187.0</v>
      </c>
      <c r="M75" s="47">
        <v>197.0</v>
      </c>
      <c r="N75" s="47">
        <v>220.0</v>
      </c>
      <c r="O75" s="34"/>
      <c r="P75" s="46"/>
      <c r="Q75" s="46"/>
      <c r="R75" s="46"/>
      <c r="S75" s="45"/>
    </row>
    <row r="76" ht="12.75" customHeight="1">
      <c r="A76" s="44" t="s">
        <v>41</v>
      </c>
      <c r="B76" s="39">
        <v>0.0383</v>
      </c>
      <c r="C76" s="39">
        <v>0.0383</v>
      </c>
      <c r="D76" s="39">
        <v>0.0383</v>
      </c>
      <c r="E76" s="40">
        <f t="shared" ref="E76:N76" si="48">E75/E$5</f>
        <v>0.0247529628</v>
      </c>
      <c r="F76" s="40">
        <f t="shared" si="48"/>
        <v>0.05724030548</v>
      </c>
      <c r="G76" s="40">
        <f t="shared" si="48"/>
        <v>0.0436204206</v>
      </c>
      <c r="H76" s="40">
        <f t="shared" si="48"/>
        <v>0.06584707646</v>
      </c>
      <c r="I76" s="40">
        <f t="shared" si="48"/>
        <v>0.03489650119</v>
      </c>
      <c r="J76" s="40">
        <f t="shared" si="48"/>
        <v>0.02236258109</v>
      </c>
      <c r="K76" s="40">
        <f t="shared" si="48"/>
        <v>0.02048589664</v>
      </c>
      <c r="L76" s="40">
        <f t="shared" si="48"/>
        <v>0.02706222865</v>
      </c>
      <c r="M76" s="40">
        <f t="shared" si="48"/>
        <v>0.03932135729</v>
      </c>
      <c r="N76" s="40">
        <f t="shared" si="48"/>
        <v>0.04698846647</v>
      </c>
      <c r="O76" s="32">
        <f>AVERAGE(E76:N76)</f>
        <v>0.03825777967</v>
      </c>
      <c r="P76" s="40"/>
      <c r="Q76" s="40"/>
      <c r="R76" s="44"/>
      <c r="S76" s="44"/>
    </row>
    <row r="77" ht="12.75" customHeight="1">
      <c r="A77" s="4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3"/>
      <c r="P77" s="44"/>
      <c r="Q77" s="44"/>
      <c r="R77" s="44"/>
      <c r="S77" s="44"/>
    </row>
    <row r="78" ht="12.75" customHeight="1">
      <c r="A78" s="44" t="s">
        <v>42</v>
      </c>
      <c r="B78" s="46">
        <f t="shared" ref="B78:D78" si="49">B5*B79</f>
        <v>-18443.37398</v>
      </c>
      <c r="C78" s="46">
        <f t="shared" si="49"/>
        <v>-12610.854</v>
      </c>
      <c r="D78" s="46">
        <f t="shared" si="49"/>
        <v>-5620.0545</v>
      </c>
      <c r="E78" s="47">
        <v>-1069.0</v>
      </c>
      <c r="F78" s="47">
        <v>-1833.0</v>
      </c>
      <c r="G78" s="47">
        <v>-976.0</v>
      </c>
      <c r="H78" s="47">
        <v>-1128.0</v>
      </c>
      <c r="I78" s="47">
        <v>-489.0</v>
      </c>
      <c r="J78" s="47">
        <v>-600.0</v>
      </c>
      <c r="K78" s="47">
        <v>-593.0</v>
      </c>
      <c r="L78" s="47">
        <v>-176.0</v>
      </c>
      <c r="M78" s="47">
        <v>-86.0</v>
      </c>
      <c r="N78" s="47">
        <v>-122.0</v>
      </c>
      <c r="O78" s="34"/>
      <c r="P78" s="46"/>
      <c r="Q78" s="46"/>
      <c r="R78" s="46"/>
      <c r="S78" s="45"/>
    </row>
    <row r="79" ht="12.75" customHeight="1">
      <c r="A79" s="44" t="s">
        <v>41</v>
      </c>
      <c r="B79" s="39">
        <v>-0.039</v>
      </c>
      <c r="C79" s="39">
        <v>-0.04</v>
      </c>
      <c r="D79" s="39">
        <v>-0.041</v>
      </c>
      <c r="E79" s="40">
        <f t="shared" ref="E79:N79" si="50">E78/E$5</f>
        <v>-0.01754702735</v>
      </c>
      <c r="F79" s="40">
        <f t="shared" si="50"/>
        <v>-0.06795432639</v>
      </c>
      <c r="G79" s="40">
        <f t="shared" si="50"/>
        <v>-0.0362636546</v>
      </c>
      <c r="H79" s="40">
        <f t="shared" si="50"/>
        <v>-0.06764617691</v>
      </c>
      <c r="I79" s="40">
        <f t="shared" si="50"/>
        <v>-0.04478842279</v>
      </c>
      <c r="J79" s="40">
        <f t="shared" si="50"/>
        <v>-0.05121201775</v>
      </c>
      <c r="K79" s="40">
        <f t="shared" si="50"/>
        <v>-0.06104591312</v>
      </c>
      <c r="L79" s="40">
        <f t="shared" si="50"/>
        <v>-0.02547033285</v>
      </c>
      <c r="M79" s="40">
        <f t="shared" si="50"/>
        <v>-0.01716566866</v>
      </c>
      <c r="N79" s="40">
        <f t="shared" si="50"/>
        <v>-0.0260572405</v>
      </c>
      <c r="O79" s="32">
        <f>AVERAGE(E79:N79)</f>
        <v>-0.04151507809</v>
      </c>
      <c r="P79" s="40"/>
      <c r="Q79" s="40"/>
      <c r="R79" s="44"/>
      <c r="S79" s="44"/>
    </row>
    <row r="80" ht="12.75" customHeight="1">
      <c r="A80" s="44"/>
      <c r="B80" s="45"/>
      <c r="C80" s="45"/>
      <c r="D80" s="45"/>
      <c r="E80" s="45"/>
      <c r="F80" s="45"/>
      <c r="G80" s="42"/>
      <c r="H80" s="42"/>
      <c r="I80" s="42"/>
      <c r="J80" s="42"/>
      <c r="K80" s="42"/>
      <c r="L80" s="42"/>
      <c r="M80" s="42"/>
      <c r="N80" s="42"/>
      <c r="O80" s="43"/>
      <c r="P80" s="44"/>
      <c r="Q80" s="44"/>
      <c r="R80" s="44"/>
      <c r="S80" s="44"/>
    </row>
    <row r="81" ht="12.75" customHeight="1">
      <c r="A81" s="45" t="s">
        <v>43</v>
      </c>
      <c r="B81" s="46">
        <f t="shared" ref="B81:D81" si="51">B$5*B82</f>
        <v>63842.44838</v>
      </c>
      <c r="C81" s="46">
        <f t="shared" si="51"/>
        <v>42561.63225</v>
      </c>
      <c r="D81" s="46">
        <f t="shared" si="51"/>
        <v>18505.0575</v>
      </c>
      <c r="E81" s="47">
        <v>9999.0</v>
      </c>
      <c r="F81" s="47">
        <v>3827.0</v>
      </c>
      <c r="G81" s="47">
        <v>4650.0</v>
      </c>
      <c r="H81" s="47">
        <v>2429.0</v>
      </c>
      <c r="I81" s="47">
        <v>1657.0</v>
      </c>
      <c r="J81" s="47">
        <v>1424.0</v>
      </c>
      <c r="K81" s="47">
        <v>1265.0</v>
      </c>
      <c r="L81" s="47">
        <v>826.0</v>
      </c>
      <c r="M81" s="47">
        <v>505.0</v>
      </c>
      <c r="N81" s="47">
        <v>474.0</v>
      </c>
      <c r="O81" s="34"/>
      <c r="P81" s="46"/>
      <c r="Q81" s="45"/>
      <c r="R81" s="46"/>
      <c r="S81" s="45"/>
    </row>
    <row r="82" ht="12.75" customHeight="1">
      <c r="A82" s="44" t="s">
        <v>41</v>
      </c>
      <c r="B82" s="39">
        <v>0.135</v>
      </c>
      <c r="C82" s="39">
        <v>0.135</v>
      </c>
      <c r="D82" s="39">
        <v>0.135</v>
      </c>
      <c r="E82" s="40">
        <f t="shared" ref="E82:N82" si="52">E81/E$5</f>
        <v>0.1641279013</v>
      </c>
      <c r="F82" s="40">
        <f t="shared" si="52"/>
        <v>0.1418773634</v>
      </c>
      <c r="G82" s="40">
        <f t="shared" si="52"/>
        <v>0.1727725347</v>
      </c>
      <c r="H82" s="40">
        <f t="shared" si="52"/>
        <v>0.1456671664</v>
      </c>
      <c r="I82" s="40">
        <f t="shared" si="52"/>
        <v>0.151767723</v>
      </c>
      <c r="J82" s="40">
        <f t="shared" si="52"/>
        <v>0.1215431888</v>
      </c>
      <c r="K82" s="40">
        <f t="shared" si="52"/>
        <v>0.1302244184</v>
      </c>
      <c r="L82" s="40">
        <f t="shared" si="52"/>
        <v>0.119536903</v>
      </c>
      <c r="M82" s="40">
        <f t="shared" si="52"/>
        <v>0.1007984032</v>
      </c>
      <c r="N82" s="40">
        <f t="shared" si="52"/>
        <v>0.1012387868</v>
      </c>
      <c r="O82" s="32">
        <f>AVERAGE(E82:N82)</f>
        <v>0.1349554389</v>
      </c>
      <c r="P82" s="40"/>
      <c r="Q82" s="40"/>
      <c r="R82" s="44"/>
      <c r="S82" s="44"/>
    </row>
    <row r="83" ht="12.75" customHeight="1">
      <c r="A83" s="45" t="s">
        <v>44</v>
      </c>
      <c r="B83" s="46">
        <f t="shared" ref="B83:D83" si="53">B$5*B84</f>
        <v>52019.77275</v>
      </c>
      <c r="C83" s="46">
        <f t="shared" si="53"/>
        <v>34679.8485</v>
      </c>
      <c r="D83" s="46">
        <f t="shared" si="53"/>
        <v>15078.195</v>
      </c>
      <c r="E83" s="47">
        <v>5282.0</v>
      </c>
      <c r="F83" s="47">
        <v>5159.0</v>
      </c>
      <c r="G83" s="47">
        <v>2605.0</v>
      </c>
      <c r="H83" s="47">
        <v>1826.0</v>
      </c>
      <c r="I83" s="47">
        <v>979.0</v>
      </c>
      <c r="J83" s="47">
        <v>1575.0</v>
      </c>
      <c r="K83" s="47">
        <v>796.0</v>
      </c>
      <c r="L83" s="47">
        <v>794.0</v>
      </c>
      <c r="M83" s="47">
        <v>418.0</v>
      </c>
      <c r="N83" s="47">
        <v>483.0</v>
      </c>
      <c r="O83" s="34"/>
      <c r="P83" s="46"/>
      <c r="Q83" s="45"/>
      <c r="R83" s="46"/>
      <c r="S83" s="45"/>
    </row>
    <row r="84" ht="12.75" customHeight="1">
      <c r="A84" s="44" t="s">
        <v>41</v>
      </c>
      <c r="B84" s="39">
        <v>0.11</v>
      </c>
      <c r="C84" s="39">
        <v>0.11</v>
      </c>
      <c r="D84" s="39">
        <v>0.11</v>
      </c>
      <c r="E84" s="40">
        <f t="shared" ref="E84:N84" si="54">E83/E$5</f>
        <v>0.08670102754</v>
      </c>
      <c r="F84" s="40">
        <f t="shared" si="54"/>
        <v>0.1912582487</v>
      </c>
      <c r="G84" s="40">
        <f t="shared" si="54"/>
        <v>0.09678977484</v>
      </c>
      <c r="H84" s="40">
        <f t="shared" si="54"/>
        <v>0.1095052474</v>
      </c>
      <c r="I84" s="40">
        <f t="shared" si="54"/>
        <v>0.08966843744</v>
      </c>
      <c r="J84" s="40">
        <f t="shared" si="54"/>
        <v>0.1344315466</v>
      </c>
      <c r="K84" s="40">
        <f t="shared" si="54"/>
        <v>0.08194358658</v>
      </c>
      <c r="L84" s="40">
        <f t="shared" si="54"/>
        <v>0.1149059334</v>
      </c>
      <c r="M84" s="40">
        <f t="shared" si="54"/>
        <v>0.08343313373</v>
      </c>
      <c r="N84" s="40">
        <f t="shared" si="54"/>
        <v>0.1031610423</v>
      </c>
      <c r="O84" s="32">
        <f>AVERAGE(E84:N84)</f>
        <v>0.1091797979</v>
      </c>
      <c r="P84" s="40"/>
      <c r="Q84" s="40"/>
      <c r="R84" s="44"/>
      <c r="S84" s="44"/>
    </row>
    <row r="85" ht="12.75" customHeight="1">
      <c r="A85" s="45" t="s">
        <v>45</v>
      </c>
      <c r="B85" s="46">
        <f t="shared" ref="B85:D85" si="55">B$5*B86</f>
        <v>28374.4215</v>
      </c>
      <c r="C85" s="46">
        <f t="shared" si="55"/>
        <v>18916.281</v>
      </c>
      <c r="D85" s="46">
        <f t="shared" si="55"/>
        <v>8224.47</v>
      </c>
      <c r="E85" s="47">
        <v>2699.0</v>
      </c>
      <c r="F85" s="47">
        <v>1193.0</v>
      </c>
      <c r="G85" s="47">
        <v>1783.0</v>
      </c>
      <c r="H85" s="47">
        <v>1201.0</v>
      </c>
      <c r="I85" s="47">
        <v>687.0</v>
      </c>
      <c r="J85" s="47">
        <v>511.0</v>
      </c>
      <c r="K85" s="47">
        <v>596.0</v>
      </c>
      <c r="L85" s="47">
        <v>485.0</v>
      </c>
      <c r="M85" s="47">
        <v>296.0</v>
      </c>
      <c r="N85" s="47">
        <v>293.0</v>
      </c>
      <c r="O85" s="34"/>
      <c r="P85" s="46"/>
      <c r="Q85" s="45"/>
      <c r="R85" s="46"/>
      <c r="S85" s="45"/>
    </row>
    <row r="86" ht="12.75" customHeight="1">
      <c r="A86" s="48" t="s">
        <v>41</v>
      </c>
      <c r="B86" s="39">
        <v>0.06</v>
      </c>
      <c r="C86" s="39">
        <v>0.06</v>
      </c>
      <c r="D86" s="39">
        <v>0.06</v>
      </c>
      <c r="E86" s="40">
        <f t="shared" ref="E86:N86" si="56">E85/E$5</f>
        <v>0.0443025508</v>
      </c>
      <c r="F86" s="40">
        <f t="shared" si="56"/>
        <v>0.04422777489</v>
      </c>
      <c r="G86" s="40">
        <f t="shared" si="56"/>
        <v>0.06624804934</v>
      </c>
      <c r="H86" s="40">
        <f t="shared" si="56"/>
        <v>0.07202398801</v>
      </c>
      <c r="I86" s="40">
        <f t="shared" si="56"/>
        <v>0.06292361238</v>
      </c>
      <c r="J86" s="40">
        <f t="shared" si="56"/>
        <v>0.04361556845</v>
      </c>
      <c r="K86" s="40">
        <f t="shared" si="56"/>
        <v>0.06135474573</v>
      </c>
      <c r="L86" s="40">
        <f t="shared" si="56"/>
        <v>0.07018813314</v>
      </c>
      <c r="M86" s="40">
        <f t="shared" si="56"/>
        <v>0.05908183633</v>
      </c>
      <c r="N86" s="40">
        <f t="shared" si="56"/>
        <v>0.06258009398</v>
      </c>
      <c r="O86" s="32">
        <f>AVERAGE(E86:N86)</f>
        <v>0.05865463531</v>
      </c>
      <c r="P86" s="40"/>
      <c r="Q86" s="40"/>
      <c r="R86" s="44"/>
      <c r="S86" s="44"/>
    </row>
    <row r="87" ht="12.75" customHeight="1">
      <c r="A87" s="44" t="s">
        <v>46</v>
      </c>
      <c r="B87" s="46">
        <f t="shared" ref="B87:M87" si="57">(C81-B81)+(C83-B83)+(B85-C85)</f>
        <v>-29162.59988</v>
      </c>
      <c r="C87" s="46">
        <f t="shared" si="57"/>
        <v>-32966.41725</v>
      </c>
      <c r="D87" s="46">
        <f t="shared" si="57"/>
        <v>-12776.7825</v>
      </c>
      <c r="E87" s="46">
        <f t="shared" si="57"/>
        <v>-4789</v>
      </c>
      <c r="F87" s="46">
        <f t="shared" si="57"/>
        <v>-2321</v>
      </c>
      <c r="G87" s="46">
        <f t="shared" si="57"/>
        <v>-2418</v>
      </c>
      <c r="H87" s="46">
        <f t="shared" si="57"/>
        <v>-1105</v>
      </c>
      <c r="I87" s="46">
        <f t="shared" si="57"/>
        <v>539</v>
      </c>
      <c r="J87" s="46">
        <f t="shared" si="57"/>
        <v>-1023</v>
      </c>
      <c r="K87" s="46">
        <f t="shared" si="57"/>
        <v>-330</v>
      </c>
      <c r="L87" s="46">
        <f t="shared" si="57"/>
        <v>-508</v>
      </c>
      <c r="M87" s="46">
        <f t="shared" si="57"/>
        <v>37</v>
      </c>
      <c r="N87" s="46"/>
      <c r="O87" s="34"/>
      <c r="P87" s="45"/>
      <c r="Q87" s="42"/>
      <c r="R87" s="44"/>
      <c r="S87" s="44"/>
    </row>
    <row r="88" ht="12.75" customHeight="1">
      <c r="B88" s="49"/>
      <c r="C88" s="49"/>
      <c r="D88" s="49"/>
      <c r="E88" s="46"/>
      <c r="F88" s="31"/>
      <c r="G88" s="31"/>
      <c r="H88" s="31"/>
      <c r="I88" s="31"/>
      <c r="J88" s="31"/>
      <c r="K88" s="31"/>
      <c r="L88" s="31"/>
      <c r="M88" s="31"/>
      <c r="N88" s="31"/>
    </row>
    <row r="89" ht="12.75" customHeight="1">
      <c r="B89" s="49"/>
      <c r="C89" s="49"/>
      <c r="D89" s="49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ht="12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2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2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2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2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2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2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2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2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2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2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2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2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2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2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2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2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2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2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2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2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2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2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2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2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2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2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2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2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2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2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2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2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2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2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2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2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2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2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2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2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2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2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2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2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2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2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2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2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2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2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2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2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2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2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2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2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2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2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2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2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2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2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2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2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2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2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2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2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2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2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2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2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2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2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2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2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2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2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2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2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2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2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2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2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2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2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2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2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2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2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2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2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2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2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2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2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2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2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2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2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2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2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2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2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2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2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2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2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2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2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2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2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2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2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2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2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2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2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2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2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2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2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2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2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2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2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2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2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2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2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2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2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2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2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2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2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2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2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2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2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2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2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2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2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2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2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2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2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2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2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2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2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2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2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2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2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2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2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2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2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2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2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2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2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2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2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2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2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2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2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2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2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2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2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2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2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2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2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2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2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2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2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2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2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2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2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2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2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2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2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2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2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2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2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2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2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2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2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2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2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2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2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2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2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2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2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2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2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2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2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2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2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2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2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2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2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2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2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2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2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2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2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2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2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2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2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2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2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2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2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2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2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2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2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2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2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2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2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2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2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2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2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2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2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2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2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2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2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2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2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2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2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2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2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2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2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2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2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2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2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2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2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2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2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2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2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2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2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2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2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2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2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2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2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2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2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2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2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2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2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2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2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2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2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2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2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2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2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2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2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2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2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2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2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2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2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2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2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2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2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2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2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2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2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2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2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2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2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2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2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2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2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2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2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2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2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2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2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2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2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2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2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2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2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2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2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2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2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2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2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2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2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2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2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2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2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2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2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2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2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2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2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2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2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2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2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2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2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2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2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2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2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2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2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2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2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2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2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2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2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2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2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2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2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2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2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2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2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2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2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2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2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2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2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2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2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2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2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2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2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2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2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2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2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2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2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2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2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2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2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2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2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2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2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2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2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2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2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2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2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2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2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2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2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2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2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2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2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2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2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2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2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2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2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2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2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2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2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2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2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2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2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2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2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2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2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2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2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2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2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2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2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2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2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2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2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2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2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2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2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2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2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2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2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2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2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2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2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2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2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2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2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2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2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2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2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2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2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2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2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2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2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2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2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2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2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2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2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2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2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2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2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2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2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2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2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2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2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2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2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2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2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2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2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2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2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2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2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2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2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2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2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2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2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2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2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2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2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2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2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2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2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2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2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2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2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2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2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2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2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2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2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2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2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2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2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2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2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2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2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2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2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2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2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2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2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2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2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2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2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2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2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2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2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2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2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2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2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2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2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2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2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2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2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2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2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2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2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2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2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2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2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2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2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2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2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2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2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2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2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2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2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2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2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2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2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2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2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2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2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2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2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2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2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2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2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2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2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2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2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2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2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2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2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2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2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2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2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2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2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2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2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2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2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2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2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2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2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2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2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2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2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2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2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2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2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2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2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2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2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2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2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2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2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2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2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2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2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2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2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2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2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2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2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2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2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2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2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2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2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2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2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2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2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2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2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2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2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2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2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2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2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2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2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2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2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2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2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2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2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2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2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2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2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2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2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2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2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2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2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2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2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2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2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2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2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2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2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2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2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2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2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2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2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2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2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2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2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2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2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2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2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2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2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2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2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2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2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2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2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2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2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2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2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2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2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2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2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2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2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2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2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2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2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2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2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2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2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2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2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2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2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2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2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2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2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2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2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2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2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2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2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2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2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2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2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2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2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2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2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2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2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2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2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2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2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2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2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2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2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2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2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2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2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2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2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2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2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2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2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2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2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2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2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2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2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2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2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2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2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2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2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2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2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2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2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2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2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2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2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2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2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2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2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2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2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2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2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2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2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2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2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2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2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2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2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2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2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2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2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2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2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2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2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2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2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2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2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2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2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2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2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2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2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2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2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2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2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2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2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2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2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2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2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2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2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2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2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2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2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2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2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2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2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2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2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2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2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2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2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2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2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2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2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2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2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2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2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2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2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2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2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2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2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2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2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2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2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2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2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2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2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2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2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2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2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2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2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2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2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2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2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2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2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2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2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2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2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2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2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2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2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2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2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2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2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2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2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2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2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2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2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2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2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2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2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2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2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2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2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2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2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2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2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2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2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2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2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2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2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2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2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ht="12.75" customHeight="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ht="12.75" customHeight="1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ht="12.75" customHeight="1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ht="12.75" customHeight="1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ht="12.75" customHeight="1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ht="12.75" customHeight="1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ht="12.75" customHeight="1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ht="12.75" customHeight="1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ht="12.75" customHeight="1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ht="12.75" customHeight="1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</sheetData>
  <conditionalFormatting sqref="B59:M70">
    <cfRule type="cellIs" dxfId="0" priority="1" operator="greaterThan">
      <formula>"0%"</formula>
    </cfRule>
  </conditionalFormatting>
  <conditionalFormatting sqref="B59:M70">
    <cfRule type="cellIs" dxfId="1" priority="2" operator="lessThan">
      <formula>"0%"</formula>
    </cfRule>
  </conditionalFormatting>
  <conditionalFormatting sqref="B59:M70">
    <cfRule type="cellIs" dxfId="2" priority="3" operator="equal">
      <formula>"0%"</formula>
    </cfRule>
  </conditionalFormatting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53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</v>
      </c>
      <c r="B3" s="4" t="s">
        <v>3</v>
      </c>
      <c r="C3" s="4" t="s">
        <v>4</v>
      </c>
      <c r="D3" s="4" t="s">
        <v>5</v>
      </c>
      <c r="E3" s="4">
        <v>2024.0</v>
      </c>
      <c r="F3" s="4">
        <v>2023.0</v>
      </c>
      <c r="G3" s="4">
        <v>2022.0</v>
      </c>
      <c r="H3" s="4">
        <v>2021.0</v>
      </c>
      <c r="I3" s="4">
        <v>2020.0</v>
      </c>
      <c r="J3" s="4">
        <v>2019.0</v>
      </c>
      <c r="K3" s="4">
        <v>2018.0</v>
      </c>
      <c r="L3" s="4">
        <v>2017.0</v>
      </c>
      <c r="M3" s="4">
        <v>2016.0</v>
      </c>
      <c r="N3" s="4">
        <v>2015.0</v>
      </c>
      <c r="O3" s="4">
        <v>2014.0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0" t="s">
        <v>47</v>
      </c>
      <c r="B4" s="2"/>
      <c r="C4" s="2"/>
      <c r="D4" s="2"/>
      <c r="E4" s="51" t="s">
        <v>48</v>
      </c>
      <c r="F4" s="51" t="s">
        <v>48</v>
      </c>
      <c r="G4" s="51" t="s">
        <v>48</v>
      </c>
      <c r="H4" s="52"/>
      <c r="I4" s="52"/>
      <c r="J4" s="52"/>
      <c r="K4" s="52"/>
      <c r="L4" s="52"/>
      <c r="M4" s="2"/>
      <c r="N4" s="2"/>
    </row>
    <row r="5">
      <c r="A5" s="53" t="s">
        <v>49</v>
      </c>
      <c r="E5" s="54">
        <v>29760.0</v>
      </c>
      <c r="F5" s="54">
        <v>4368.0</v>
      </c>
      <c r="G5" s="54">
        <v>9752.0</v>
      </c>
      <c r="H5" s="54">
        <v>4332.0</v>
      </c>
      <c r="I5" s="54">
        <v>2796.0</v>
      </c>
      <c r="J5" s="54">
        <v>4141.0</v>
      </c>
      <c r="K5" s="54">
        <v>3047.0</v>
      </c>
      <c r="L5" s="54">
        <v>1666.0</v>
      </c>
      <c r="M5" s="54">
        <v>614.0</v>
      </c>
      <c r="N5" s="54">
        <v>631.0</v>
      </c>
      <c r="O5" s="54">
        <v>440.0</v>
      </c>
    </row>
    <row r="6">
      <c r="A6" s="55" t="s">
        <v>50</v>
      </c>
      <c r="E6" s="56" t="s">
        <v>48</v>
      </c>
      <c r="F6" s="56" t="s">
        <v>48</v>
      </c>
      <c r="G6" s="56" t="s">
        <v>48</v>
      </c>
      <c r="H6" s="57"/>
      <c r="I6" s="57"/>
      <c r="J6" s="57"/>
    </row>
    <row r="7">
      <c r="A7" s="53" t="s">
        <v>51</v>
      </c>
      <c r="E7" s="58">
        <v>3549.0</v>
      </c>
      <c r="F7" s="58">
        <v>2709.0</v>
      </c>
      <c r="G7" s="58">
        <v>2004.0</v>
      </c>
      <c r="H7" s="58">
        <v>1397.0</v>
      </c>
      <c r="I7" s="58">
        <v>844.0</v>
      </c>
      <c r="J7" s="58">
        <v>557.0</v>
      </c>
      <c r="K7" s="58">
        <v>391.0</v>
      </c>
      <c r="L7" s="58">
        <v>247.0</v>
      </c>
    </row>
    <row r="8">
      <c r="A8" s="53" t="s">
        <v>52</v>
      </c>
      <c r="E8" s="58">
        <v>1508.0</v>
      </c>
      <c r="F8" s="58">
        <v>1544.0</v>
      </c>
      <c r="G8" s="58">
        <v>1174.0</v>
      </c>
      <c r="H8" s="58">
        <v>1098.0</v>
      </c>
      <c r="I8" s="58">
        <v>381.0</v>
      </c>
      <c r="J8" s="58">
        <v>262.0</v>
      </c>
      <c r="K8" s="58">
        <v>199.0</v>
      </c>
      <c r="L8" s="58">
        <v>187.0</v>
      </c>
      <c r="M8" s="58">
        <v>197.0</v>
      </c>
      <c r="N8" s="58">
        <v>220.0</v>
      </c>
      <c r="O8" s="58">
        <v>239.0</v>
      </c>
    </row>
    <row r="9">
      <c r="A9" s="53" t="s">
        <v>53</v>
      </c>
      <c r="E9" s="58">
        <v>-2489.0</v>
      </c>
      <c r="F9" s="58">
        <v>-2164.0</v>
      </c>
      <c r="G9" s="58">
        <v>-406.0</v>
      </c>
      <c r="H9" s="58">
        <v>-282.0</v>
      </c>
      <c r="I9" s="58">
        <v>18.0</v>
      </c>
      <c r="J9" s="58">
        <v>-315.0</v>
      </c>
      <c r="K9" s="58">
        <v>-359.0</v>
      </c>
      <c r="L9" s="58">
        <v>197.0</v>
      </c>
    </row>
    <row r="10">
      <c r="A10" s="53" t="s">
        <v>54</v>
      </c>
      <c r="E10" s="58">
        <v>-238.0</v>
      </c>
      <c r="F10" s="58">
        <v>45.0</v>
      </c>
      <c r="G10" s="58">
        <v>-100.0</v>
      </c>
      <c r="K10" s="58">
        <v>19.0</v>
      </c>
      <c r="L10" s="58">
        <v>21.0</v>
      </c>
    </row>
    <row r="11">
      <c r="A11" s="53" t="s">
        <v>55</v>
      </c>
      <c r="E11" s="58">
        <v>0.0</v>
      </c>
      <c r="F11" s="58">
        <v>1353.0</v>
      </c>
      <c r="G11" s="58">
        <v>0.0</v>
      </c>
      <c r="H11" s="57"/>
      <c r="I11" s="57"/>
      <c r="J11" s="57"/>
    </row>
    <row r="12">
      <c r="A12" s="53" t="s">
        <v>56</v>
      </c>
      <c r="E12" s="58">
        <v>-278.0</v>
      </c>
      <c r="F12" s="58">
        <v>-7.0</v>
      </c>
      <c r="G12" s="58">
        <v>47.0</v>
      </c>
      <c r="H12" s="58">
        <v>-20.0</v>
      </c>
      <c r="I12" s="58">
        <v>5.0</v>
      </c>
      <c r="J12" s="58">
        <v>-45.0</v>
      </c>
      <c r="K12" s="58">
        <v>20.0</v>
      </c>
      <c r="L12" s="58">
        <v>33.0</v>
      </c>
    </row>
    <row r="13">
      <c r="A13" s="55" t="s">
        <v>57</v>
      </c>
      <c r="E13" s="53" t="s">
        <v>48</v>
      </c>
      <c r="F13" s="53" t="s">
        <v>48</v>
      </c>
      <c r="G13" s="53" t="s">
        <v>48</v>
      </c>
    </row>
    <row r="14">
      <c r="A14" s="53" t="s">
        <v>58</v>
      </c>
      <c r="E14" s="58">
        <v>-6172.0</v>
      </c>
      <c r="F14" s="58">
        <v>822.0</v>
      </c>
      <c r="G14" s="58">
        <v>-2215.0</v>
      </c>
      <c r="H14" s="58">
        <v>-550.0</v>
      </c>
      <c r="I14" s="58">
        <v>-233.0</v>
      </c>
      <c r="J14" s="58">
        <v>-149.0</v>
      </c>
      <c r="K14" s="58">
        <v>-440.0</v>
      </c>
      <c r="L14" s="58">
        <v>-321.0</v>
      </c>
    </row>
    <row r="15">
      <c r="A15" s="53" t="s">
        <v>59</v>
      </c>
      <c r="E15" s="58">
        <v>-98.0</v>
      </c>
      <c r="F15" s="58">
        <v>-2554.0</v>
      </c>
      <c r="G15" s="58">
        <v>-774.0</v>
      </c>
      <c r="H15" s="58">
        <v>-524.0</v>
      </c>
      <c r="I15" s="58">
        <v>597.0</v>
      </c>
      <c r="J15" s="58">
        <v>-776.0</v>
      </c>
      <c r="K15" s="58">
        <v>0.0</v>
      </c>
      <c r="L15" s="58">
        <v>-375.0</v>
      </c>
    </row>
    <row r="16">
      <c r="A16" s="53" t="s">
        <v>60</v>
      </c>
      <c r="E16" s="58">
        <v>-1522.0</v>
      </c>
      <c r="F16" s="58">
        <v>-1517.0</v>
      </c>
      <c r="G16" s="58">
        <v>-1715.0</v>
      </c>
      <c r="H16" s="58">
        <v>-394.0</v>
      </c>
      <c r="I16" s="58">
        <v>77.0</v>
      </c>
      <c r="J16" s="58">
        <v>-55.0</v>
      </c>
      <c r="K16" s="58">
        <v>21.0</v>
      </c>
      <c r="L16" s="58">
        <v>-18.0</v>
      </c>
    </row>
    <row r="17">
      <c r="A17" s="53" t="s">
        <v>61</v>
      </c>
      <c r="E17" s="58">
        <v>1531.0</v>
      </c>
      <c r="F17" s="58">
        <v>-551.0</v>
      </c>
      <c r="G17" s="58">
        <v>568.0</v>
      </c>
      <c r="H17" s="58">
        <v>363.0</v>
      </c>
      <c r="I17" s="58">
        <v>194.0</v>
      </c>
      <c r="J17" s="58">
        <v>-135.0</v>
      </c>
      <c r="K17" s="58">
        <v>90.0</v>
      </c>
      <c r="L17" s="58">
        <v>184.0</v>
      </c>
    </row>
    <row r="18">
      <c r="A18" s="53" t="s">
        <v>62</v>
      </c>
      <c r="E18" s="58">
        <v>2025.0</v>
      </c>
      <c r="F18" s="58">
        <v>1341.0</v>
      </c>
      <c r="G18" s="58">
        <v>581.0</v>
      </c>
      <c r="H18" s="58">
        <v>239.0</v>
      </c>
      <c r="I18" s="58">
        <v>54.0</v>
      </c>
      <c r="J18" s="58">
        <v>256.0</v>
      </c>
      <c r="K18" s="58">
        <v>33.0</v>
      </c>
      <c r="L18" s="58">
        <v>-135.0</v>
      </c>
    </row>
    <row r="19">
      <c r="A19" s="53" t="s">
        <v>63</v>
      </c>
      <c r="E19" s="58">
        <v>514.0</v>
      </c>
      <c r="F19" s="58">
        <v>252.0</v>
      </c>
      <c r="G19" s="58">
        <v>192.0</v>
      </c>
      <c r="H19" s="58">
        <v>163.0</v>
      </c>
      <c r="I19" s="58">
        <v>28.0</v>
      </c>
      <c r="J19" s="58">
        <v>2.0</v>
      </c>
      <c r="K19" s="58">
        <v>481.0</v>
      </c>
      <c r="L19" s="58">
        <v>-14.0</v>
      </c>
    </row>
    <row r="20">
      <c r="A20" s="53" t="s">
        <v>64</v>
      </c>
      <c r="E20" s="59">
        <v>28090.0</v>
      </c>
      <c r="F20" s="59">
        <v>5641.0</v>
      </c>
      <c r="G20" s="59">
        <v>9108.0</v>
      </c>
      <c r="H20" s="59">
        <v>5822.0</v>
      </c>
      <c r="I20" s="59">
        <v>4761.0</v>
      </c>
      <c r="J20" s="59">
        <v>3743.0</v>
      </c>
      <c r="K20" s="59">
        <v>3502.0</v>
      </c>
      <c r="L20" s="59">
        <v>1672.0</v>
      </c>
      <c r="M20" s="59">
        <v>1175.0</v>
      </c>
      <c r="N20" s="59">
        <v>906.0</v>
      </c>
      <c r="O20" s="59">
        <v>835.0</v>
      </c>
    </row>
    <row r="21">
      <c r="A21" s="55" t="s">
        <v>65</v>
      </c>
      <c r="E21" s="53" t="s">
        <v>48</v>
      </c>
      <c r="F21" s="53" t="s">
        <v>48</v>
      </c>
      <c r="G21" s="53" t="s">
        <v>48</v>
      </c>
      <c r="H21" s="57"/>
      <c r="I21" s="57"/>
      <c r="J21" s="57"/>
    </row>
    <row r="22">
      <c r="A22" s="53" t="s">
        <v>66</v>
      </c>
      <c r="E22" s="58">
        <v>9732.0</v>
      </c>
      <c r="F22" s="58">
        <v>19425.0</v>
      </c>
      <c r="G22" s="58">
        <v>15197.0</v>
      </c>
      <c r="H22" s="58">
        <v>8792.0</v>
      </c>
      <c r="I22" s="58">
        <v>4744.0</v>
      </c>
      <c r="J22" s="58">
        <v>7232.0</v>
      </c>
      <c r="K22" s="58">
        <v>1078.0</v>
      </c>
      <c r="L22" s="58">
        <v>969.0</v>
      </c>
    </row>
    <row r="23">
      <c r="A23" s="53" t="s">
        <v>67</v>
      </c>
      <c r="E23" s="58">
        <v>50.0</v>
      </c>
      <c r="F23" s="58">
        <v>1806.0</v>
      </c>
      <c r="G23" s="58">
        <v>1023.0</v>
      </c>
      <c r="H23" s="58">
        <v>527.0</v>
      </c>
      <c r="I23" s="58">
        <v>3365.0</v>
      </c>
      <c r="J23" s="58">
        <v>428.0</v>
      </c>
      <c r="K23" s="58">
        <v>863.0</v>
      </c>
      <c r="L23" s="58">
        <v>1546.0</v>
      </c>
    </row>
    <row r="24">
      <c r="A24" s="53" t="s">
        <v>68</v>
      </c>
      <c r="E24" s="58">
        <v>-18211.0</v>
      </c>
      <c r="F24" s="58">
        <v>-11897.0</v>
      </c>
      <c r="G24" s="58">
        <v>-24787.0</v>
      </c>
      <c r="H24" s="58">
        <v>-19308.0</v>
      </c>
      <c r="I24" s="58">
        <v>-1461.0</v>
      </c>
      <c r="J24" s="58">
        <v>-11148.0</v>
      </c>
      <c r="K24" s="58">
        <v>-36.0</v>
      </c>
      <c r="L24" s="58">
        <v>-3134.0</v>
      </c>
    </row>
    <row r="25">
      <c r="A25" s="53" t="s">
        <v>69</v>
      </c>
      <c r="E25" s="60">
        <v>-1069.0</v>
      </c>
      <c r="F25" s="60">
        <v>-1833.0</v>
      </c>
      <c r="G25" s="60">
        <v>-976.0</v>
      </c>
      <c r="H25" s="60">
        <v>-1128.0</v>
      </c>
      <c r="I25" s="60">
        <v>-489.0</v>
      </c>
      <c r="J25" s="60">
        <v>-600.0</v>
      </c>
      <c r="K25" s="60">
        <v>-593.0</v>
      </c>
      <c r="L25" s="60">
        <v>-176.0</v>
      </c>
      <c r="M25" s="60">
        <v>-86.0</v>
      </c>
      <c r="N25" s="60">
        <v>-122.0</v>
      </c>
      <c r="O25" s="60">
        <v>-255.0</v>
      </c>
    </row>
    <row r="26">
      <c r="A26" s="53" t="s">
        <v>70</v>
      </c>
      <c r="E26" s="58">
        <v>-83.0</v>
      </c>
      <c r="F26" s="58">
        <v>-49.0</v>
      </c>
      <c r="G26" s="58">
        <v>-263.0</v>
      </c>
      <c r="H26" s="58">
        <v>-8524.0</v>
      </c>
      <c r="I26" s="58">
        <v>-4.0</v>
      </c>
      <c r="J26" s="58">
        <v>0.0</v>
      </c>
      <c r="K26" s="61">
        <v>0.0</v>
      </c>
      <c r="L26" s="61">
        <v>0.0</v>
      </c>
    </row>
    <row r="27">
      <c r="A27" s="53" t="s">
        <v>71</v>
      </c>
      <c r="E27" s="58">
        <v>-985.0</v>
      </c>
      <c r="F27" s="58">
        <v>-77.0</v>
      </c>
      <c r="G27" s="58">
        <v>-24.0</v>
      </c>
      <c r="H27" s="58">
        <v>-34.0</v>
      </c>
      <c r="I27" s="58">
        <v>-10.0</v>
      </c>
      <c r="J27" s="58">
        <v>-9.0</v>
      </c>
      <c r="K27" s="58">
        <v>-36.0</v>
      </c>
      <c r="L27" s="58">
        <v>-5.0</v>
      </c>
    </row>
    <row r="28">
      <c r="A28" s="53" t="s">
        <v>72</v>
      </c>
      <c r="E28" s="58">
        <v>-10566.0</v>
      </c>
      <c r="F28" s="58">
        <v>7375.0</v>
      </c>
      <c r="G28" s="58">
        <v>-9830.0</v>
      </c>
      <c r="H28" s="58">
        <v>-19675.0</v>
      </c>
      <c r="I28" s="58">
        <v>6145.0</v>
      </c>
      <c r="J28" s="58">
        <v>-4097.0</v>
      </c>
      <c r="K28" s="58">
        <v>1278.0</v>
      </c>
      <c r="L28" s="58">
        <v>-793.0</v>
      </c>
    </row>
    <row r="29">
      <c r="A29" s="55" t="s">
        <v>73</v>
      </c>
      <c r="E29" s="53" t="s">
        <v>48</v>
      </c>
      <c r="F29" s="53" t="s">
        <v>48</v>
      </c>
      <c r="G29" s="53" t="s">
        <v>48</v>
      </c>
      <c r="H29" s="57"/>
      <c r="I29" s="57"/>
      <c r="J29" s="57"/>
    </row>
    <row r="30">
      <c r="A30" s="62" t="s">
        <v>74</v>
      </c>
      <c r="E30" s="53"/>
      <c r="F30" s="53"/>
      <c r="G30" s="53"/>
      <c r="H30" s="57"/>
      <c r="I30" s="57"/>
      <c r="J30" s="58">
        <v>0.0</v>
      </c>
      <c r="K30" s="58">
        <v>0.0</v>
      </c>
      <c r="L30" s="58">
        <v>1988.0</v>
      </c>
    </row>
    <row r="31">
      <c r="A31" s="53" t="s">
        <v>75</v>
      </c>
      <c r="E31" s="58">
        <v>403.0</v>
      </c>
      <c r="F31" s="58">
        <v>355.0</v>
      </c>
      <c r="G31" s="58">
        <v>281.0</v>
      </c>
      <c r="H31" s="58">
        <v>4968.0</v>
      </c>
      <c r="I31" s="58">
        <v>0.0</v>
      </c>
      <c r="J31" s="58">
        <v>137.0</v>
      </c>
      <c r="K31" s="58">
        <v>139.0</v>
      </c>
      <c r="L31" s="58">
        <v>167.0</v>
      </c>
    </row>
    <row r="32">
      <c r="A32" s="53" t="s">
        <v>76</v>
      </c>
      <c r="E32" s="58">
        <v>-9533.0</v>
      </c>
      <c r="F32" s="58">
        <v>-10039.0</v>
      </c>
      <c r="G32" s="58">
        <v>0.0</v>
      </c>
      <c r="H32" s="58">
        <v>194.0</v>
      </c>
      <c r="I32" s="58">
        <v>149.0</v>
      </c>
      <c r="J32" s="58"/>
      <c r="K32" s="58"/>
      <c r="L32" s="58"/>
    </row>
    <row r="33">
      <c r="A33" s="53" t="s">
        <v>77</v>
      </c>
      <c r="E33" s="58">
        <v>-2783.0</v>
      </c>
      <c r="F33" s="58">
        <v>-1475.0</v>
      </c>
      <c r="G33" s="58">
        <v>-1904.0</v>
      </c>
      <c r="H33" s="58">
        <v>-942.0</v>
      </c>
      <c r="I33" s="58">
        <v>-551.0</v>
      </c>
      <c r="J33" s="58">
        <v>-1032.0</v>
      </c>
      <c r="K33" s="58">
        <v>-612.0</v>
      </c>
      <c r="L33" s="58">
        <v>-176.0</v>
      </c>
    </row>
    <row r="34">
      <c r="A34" s="53" t="s">
        <v>78</v>
      </c>
      <c r="E34" s="58">
        <v>-1250.0</v>
      </c>
      <c r="F34" s="58">
        <v>0.0</v>
      </c>
      <c r="G34" s="58">
        <v>-1000.0</v>
      </c>
      <c r="H34" s="58">
        <v>-395.0</v>
      </c>
      <c r="I34" s="58">
        <v>-390.0</v>
      </c>
      <c r="J34" s="58">
        <v>-16.0</v>
      </c>
      <c r="K34" s="58">
        <v>-812.0</v>
      </c>
      <c r="L34" s="58">
        <v>-673.0</v>
      </c>
    </row>
    <row r="35">
      <c r="A35" s="53" t="s">
        <v>79</v>
      </c>
      <c r="E35" s="58">
        <v>-395.0</v>
      </c>
      <c r="F35" s="58">
        <v>-398.0</v>
      </c>
      <c r="G35" s="58">
        <v>-399.0</v>
      </c>
      <c r="H35" s="58">
        <v>-17.0</v>
      </c>
      <c r="I35" s="58">
        <v>0.0</v>
      </c>
      <c r="J35" s="58">
        <v>-371.0</v>
      </c>
      <c r="K35" s="58">
        <v>-341.0</v>
      </c>
      <c r="L35" s="58">
        <v>-261.0</v>
      </c>
    </row>
    <row r="36">
      <c r="A36" s="53" t="s">
        <v>80</v>
      </c>
      <c r="E36" s="58">
        <v>-74.0</v>
      </c>
      <c r="F36" s="58">
        <v>-58.0</v>
      </c>
      <c r="G36" s="58">
        <v>-83.0</v>
      </c>
      <c r="H36" s="58">
        <v>0.0</v>
      </c>
      <c r="I36" s="58">
        <v>0.0</v>
      </c>
      <c r="J36" s="61">
        <v>0.0</v>
      </c>
      <c r="K36" s="61">
        <v>0.0</v>
      </c>
      <c r="L36" s="61">
        <v>0.0</v>
      </c>
    </row>
    <row r="37">
      <c r="A37" s="53" t="s">
        <v>81</v>
      </c>
      <c r="E37" s="58">
        <v>0.0</v>
      </c>
      <c r="F37" s="58">
        <v>0.0</v>
      </c>
      <c r="G37" s="58">
        <v>4977.0</v>
      </c>
      <c r="H37" s="58">
        <v>0.0</v>
      </c>
      <c r="I37" s="58">
        <v>0.0</v>
      </c>
      <c r="J37" s="61">
        <v>0.0</v>
      </c>
      <c r="K37" s="61">
        <v>0.0</v>
      </c>
      <c r="L37" s="61">
        <v>0.0</v>
      </c>
    </row>
    <row r="38">
      <c r="A38" s="53" t="s">
        <v>56</v>
      </c>
      <c r="E38" s="58">
        <v>-1.0</v>
      </c>
      <c r="F38" s="58">
        <v>-2.0</v>
      </c>
      <c r="G38" s="58">
        <v>-7.0</v>
      </c>
      <c r="H38" s="58">
        <v>-4.0</v>
      </c>
      <c r="I38" s="58">
        <v>0.0</v>
      </c>
      <c r="J38" s="58">
        <v>-5.0</v>
      </c>
      <c r="K38" s="58">
        <v>-9.0</v>
      </c>
      <c r="L38" s="58">
        <v>-15.0</v>
      </c>
    </row>
    <row r="39">
      <c r="A39" s="53" t="s">
        <v>82</v>
      </c>
      <c r="E39" s="58">
        <v>-13633.0</v>
      </c>
      <c r="F39" s="58">
        <v>-11617.0</v>
      </c>
      <c r="G39" s="58">
        <v>1865.0</v>
      </c>
      <c r="H39" s="58">
        <v>3804.0</v>
      </c>
      <c r="I39" s="58">
        <v>-792.0</v>
      </c>
      <c r="J39" s="58">
        <v>-2866.0</v>
      </c>
      <c r="K39" s="58">
        <v>-2544.0</v>
      </c>
      <c r="L39" s="58">
        <v>291.0</v>
      </c>
    </row>
    <row r="40">
      <c r="A40" s="53" t="s">
        <v>83</v>
      </c>
      <c r="E40" s="58">
        <v>3891.0</v>
      </c>
      <c r="F40" s="58">
        <v>1399.0</v>
      </c>
      <c r="G40" s="58">
        <v>1143.0</v>
      </c>
      <c r="H40" s="58">
        <v>-10049.0</v>
      </c>
      <c r="I40" s="58">
        <v>10114.0</v>
      </c>
      <c r="J40" s="58">
        <v>-3220.0</v>
      </c>
      <c r="K40" s="58">
        <v>2236.0</v>
      </c>
      <c r="L40" s="58">
        <v>1170.0</v>
      </c>
    </row>
    <row r="41">
      <c r="A41" s="53" t="s">
        <v>84</v>
      </c>
      <c r="E41" s="58">
        <v>3389.0</v>
      </c>
      <c r="F41" s="58">
        <v>1990.0</v>
      </c>
      <c r="G41" s="58">
        <v>847.0</v>
      </c>
      <c r="H41" s="58">
        <v>10896.0</v>
      </c>
      <c r="I41" s="58">
        <v>782.0</v>
      </c>
      <c r="J41" s="58">
        <v>4002.0</v>
      </c>
      <c r="K41" s="58">
        <v>1766.0</v>
      </c>
      <c r="L41" s="58">
        <v>596.0</v>
      </c>
    </row>
    <row r="42">
      <c r="A42" s="53" t="s">
        <v>85</v>
      </c>
      <c r="E42" s="58">
        <v>7280.0</v>
      </c>
      <c r="F42" s="58">
        <v>3389.0</v>
      </c>
      <c r="G42" s="58">
        <v>1990.0</v>
      </c>
      <c r="H42" s="58">
        <v>847.0</v>
      </c>
      <c r="I42" s="58">
        <v>10896.0</v>
      </c>
      <c r="J42" s="58">
        <v>782.0</v>
      </c>
      <c r="K42" s="58">
        <v>4002.0</v>
      </c>
      <c r="L42" s="58">
        <v>1766.0</v>
      </c>
    </row>
    <row r="43">
      <c r="A43" s="55" t="s">
        <v>86</v>
      </c>
      <c r="E43" s="53" t="s">
        <v>48</v>
      </c>
      <c r="F43" s="53" t="s">
        <v>48</v>
      </c>
      <c r="G43" s="53" t="s">
        <v>48</v>
      </c>
      <c r="H43" s="57"/>
      <c r="I43" s="57"/>
      <c r="J43" s="57"/>
    </row>
    <row r="44">
      <c r="A44" s="53" t="s">
        <v>87</v>
      </c>
      <c r="E44" s="58">
        <v>6549.0</v>
      </c>
      <c r="F44" s="58">
        <v>1404.0</v>
      </c>
      <c r="G44" s="58">
        <v>396.0</v>
      </c>
      <c r="H44" s="58">
        <v>249.0</v>
      </c>
      <c r="I44" s="58">
        <v>176.0</v>
      </c>
      <c r="J44" s="58">
        <v>61.0</v>
      </c>
      <c r="K44" s="58">
        <v>22.0</v>
      </c>
      <c r="L44" s="58">
        <v>14.0</v>
      </c>
    </row>
    <row r="45">
      <c r="A45" s="53" t="s">
        <v>88</v>
      </c>
      <c r="E45" s="54">
        <v>252.0</v>
      </c>
      <c r="F45" s="54">
        <v>254.0</v>
      </c>
      <c r="G45" s="54">
        <v>246.0</v>
      </c>
      <c r="H45" s="54">
        <v>138.0</v>
      </c>
      <c r="I45" s="54">
        <v>54.0</v>
      </c>
      <c r="J45" s="54">
        <v>55.0</v>
      </c>
      <c r="K45" s="58">
        <v>55.0</v>
      </c>
      <c r="L45" s="58">
        <v>13.0</v>
      </c>
    </row>
    <row r="46">
      <c r="A46" s="55" t="s">
        <v>89</v>
      </c>
    </row>
    <row r="47">
      <c r="A47" s="53" t="s">
        <v>90</v>
      </c>
      <c r="J47" s="54">
        <v>76.0</v>
      </c>
      <c r="K47" s="54">
        <v>36.0</v>
      </c>
      <c r="L47" s="54">
        <v>16.0</v>
      </c>
    </row>
    <row r="51">
      <c r="P51" s="11" t="s">
        <v>91</v>
      </c>
    </row>
    <row r="52">
      <c r="A52" s="37" t="s">
        <v>92</v>
      </c>
      <c r="E52" s="63">
        <f t="shared" ref="E52:O52" si="1">E20+E25</f>
        <v>27021</v>
      </c>
      <c r="F52" s="63">
        <f t="shared" si="1"/>
        <v>3808</v>
      </c>
      <c r="G52" s="63">
        <f t="shared" si="1"/>
        <v>8132</v>
      </c>
      <c r="H52" s="63">
        <f t="shared" si="1"/>
        <v>4694</v>
      </c>
      <c r="I52" s="63">
        <f t="shared" si="1"/>
        <v>4272</v>
      </c>
      <c r="J52" s="63">
        <f t="shared" si="1"/>
        <v>3143</v>
      </c>
      <c r="K52" s="63">
        <f t="shared" si="1"/>
        <v>2909</v>
      </c>
      <c r="L52" s="63">
        <f t="shared" si="1"/>
        <v>1496</v>
      </c>
      <c r="M52" s="63">
        <f t="shared" si="1"/>
        <v>1089</v>
      </c>
      <c r="N52" s="63">
        <f t="shared" si="1"/>
        <v>784</v>
      </c>
      <c r="O52" s="63">
        <f t="shared" si="1"/>
        <v>580</v>
      </c>
    </row>
    <row r="53">
      <c r="A53" s="37" t="s">
        <v>93</v>
      </c>
      <c r="E53" s="32">
        <f t="shared" ref="E53:H53" si="2">E52/F52-1</f>
        <v>6.09585084</v>
      </c>
      <c r="F53" s="32">
        <f t="shared" si="2"/>
        <v>-0.5317265125</v>
      </c>
      <c r="G53" s="32">
        <f t="shared" si="2"/>
        <v>0.7324243715</v>
      </c>
      <c r="H53" s="32">
        <f t="shared" si="2"/>
        <v>0.09878277154</v>
      </c>
      <c r="I53" s="32">
        <f t="shared" ref="I53:N53" si="3">((I52-J52)/J52)</f>
        <v>0.359210945</v>
      </c>
      <c r="J53" s="32">
        <f t="shared" si="3"/>
        <v>0.08044001375</v>
      </c>
      <c r="K53" s="32">
        <f t="shared" si="3"/>
        <v>0.9445187166</v>
      </c>
      <c r="L53" s="32">
        <f t="shared" si="3"/>
        <v>0.3737373737</v>
      </c>
      <c r="M53" s="32">
        <f t="shared" si="3"/>
        <v>0.3890306122</v>
      </c>
      <c r="N53" s="32">
        <f t="shared" si="3"/>
        <v>0.3517241379</v>
      </c>
      <c r="P53" s="64">
        <f>average(F53:O53)</f>
        <v>0.3109047144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7" max="7" width="17.88"/>
  </cols>
  <sheetData>
    <row r="1">
      <c r="A1" s="65" t="s">
        <v>94</v>
      </c>
      <c r="B1" s="66">
        <v>8459.0</v>
      </c>
    </row>
    <row r="2">
      <c r="A2" s="65" t="s">
        <v>95</v>
      </c>
      <c r="B2" s="67">
        <v>0.0266</v>
      </c>
    </row>
    <row r="3">
      <c r="A3" s="65" t="s">
        <v>96</v>
      </c>
      <c r="B3" s="68">
        <v>3430448.0</v>
      </c>
    </row>
    <row r="4">
      <c r="A4" s="65" t="s">
        <v>97</v>
      </c>
      <c r="B4" s="69">
        <v>1.62</v>
      </c>
      <c r="G4" s="70"/>
    </row>
    <row r="5">
      <c r="A5" s="65" t="s">
        <v>98</v>
      </c>
      <c r="B5" s="71">
        <v>0.0453</v>
      </c>
      <c r="G5" s="70"/>
    </row>
    <row r="6">
      <c r="A6" s="65" t="s">
        <v>99</v>
      </c>
      <c r="B6" s="72">
        <f>9.5%-B5</f>
        <v>0.0497</v>
      </c>
    </row>
    <row r="7">
      <c r="A7" s="65" t="s">
        <v>100</v>
      </c>
      <c r="B7" s="73">
        <f>B5+(B4*B6)</f>
        <v>0.125814</v>
      </c>
    </row>
    <row r="8">
      <c r="A8" s="65" t="s">
        <v>101</v>
      </c>
      <c r="B8" s="71">
        <v>0.145</v>
      </c>
    </row>
    <row r="10">
      <c r="A10" s="74" t="s">
        <v>102</v>
      </c>
      <c r="B10" s="75">
        <f>((B3/(B3+B1))*B7)+((B1/(B3+B1))*B2*(1-B8))</f>
        <v>0.1255604667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3.0"/>
    <col customWidth="1" min="3" max="4" width="8.75"/>
    <col customWidth="1" min="5" max="5" width="9.5"/>
    <col customWidth="1" min="6" max="6" width="9.88"/>
    <col customWidth="1" min="7" max="7" width="8.75"/>
    <col customWidth="1" min="8" max="8" width="11.0"/>
    <col customWidth="1" min="9" max="10" width="8.75"/>
    <col customWidth="1" min="11" max="11" width="8.88"/>
    <col customWidth="1" min="12" max="12" width="10.38"/>
    <col customWidth="1" min="13" max="26" width="9.13"/>
  </cols>
  <sheetData>
    <row r="1" ht="12.0" customHeight="1">
      <c r="A1" s="76" t="s">
        <v>103</v>
      </c>
      <c r="B1" s="77"/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2.0" customHeight="1">
      <c r="A2" s="79"/>
      <c r="B2" s="77"/>
      <c r="C2" s="78"/>
      <c r="D2" s="79"/>
      <c r="E2" s="79"/>
      <c r="F2" s="80" t="s">
        <v>104</v>
      </c>
      <c r="G2" s="81">
        <v>54.88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2.0" customHeight="1">
      <c r="A3" s="82" t="s">
        <v>105</v>
      </c>
      <c r="B3" s="83"/>
      <c r="C3" s="84"/>
      <c r="D3" s="79"/>
      <c r="E3" s="79"/>
      <c r="F3" s="80" t="s">
        <v>106</v>
      </c>
      <c r="G3" s="85">
        <v>0.12</v>
      </c>
      <c r="H3" s="80" t="s">
        <v>107</v>
      </c>
      <c r="I3" s="86">
        <v>0.12556046665670226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2.0" customHeight="1">
      <c r="A4" s="82" t="s">
        <v>108</v>
      </c>
      <c r="B4" s="3"/>
      <c r="C4" s="79"/>
      <c r="D4" s="79"/>
      <c r="E4" s="79"/>
      <c r="F4" s="80" t="s">
        <v>109</v>
      </c>
      <c r="G4" s="85">
        <v>0.1025</v>
      </c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2.0" customHeight="1">
      <c r="A5" s="82"/>
      <c r="B5" s="3"/>
      <c r="C5" s="79"/>
      <c r="D5" s="79"/>
      <c r="F5" s="80" t="s">
        <v>110</v>
      </c>
      <c r="G5" s="87">
        <v>63.0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2.0" customHeight="1">
      <c r="A6" s="88"/>
      <c r="B6" s="8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2.0" customHeight="1">
      <c r="A7" s="89" t="s">
        <v>111</v>
      </c>
      <c r="B7" s="90" t="s">
        <v>5</v>
      </c>
      <c r="C7" s="90" t="s">
        <v>4</v>
      </c>
      <c r="D7" s="90" t="s">
        <v>3</v>
      </c>
      <c r="E7" s="90" t="s">
        <v>112</v>
      </c>
      <c r="F7" s="90" t="s">
        <v>113</v>
      </c>
      <c r="G7" s="90" t="s">
        <v>114</v>
      </c>
      <c r="H7" s="90" t="s">
        <v>115</v>
      </c>
      <c r="I7" s="90" t="s">
        <v>116</v>
      </c>
      <c r="J7" s="90" t="s">
        <v>117</v>
      </c>
      <c r="K7" s="90" t="s">
        <v>118</v>
      </c>
      <c r="L7" s="90" t="s">
        <v>119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2.0" customHeight="1">
      <c r="A8" s="2"/>
      <c r="B8" s="91"/>
      <c r="C8" s="91"/>
      <c r="D8" s="91"/>
      <c r="E8" s="91"/>
      <c r="F8" s="91"/>
      <c r="G8" s="91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2.0" customHeight="1">
      <c r="A9" s="2" t="s">
        <v>34</v>
      </c>
      <c r="B9" s="92">
        <f>INC!D5</f>
        <v>137074.5</v>
      </c>
      <c r="C9" s="92">
        <f>INC!C5</f>
        <v>315271.35</v>
      </c>
      <c r="D9" s="92">
        <f>INC!B5</f>
        <v>472907.025</v>
      </c>
      <c r="E9" s="92">
        <f t="shared" ref="E9:L9" si="1">(D9*(1+E10))</f>
        <v>520197.7275</v>
      </c>
      <c r="F9" s="92">
        <f t="shared" si="1"/>
        <v>572217.5003</v>
      </c>
      <c r="G9" s="92">
        <f t="shared" si="1"/>
        <v>629439.2503</v>
      </c>
      <c r="H9" s="92">
        <f t="shared" si="1"/>
        <v>692383.1753</v>
      </c>
      <c r="I9" s="92">
        <f t="shared" si="1"/>
        <v>761621.4928</v>
      </c>
      <c r="J9" s="92">
        <f t="shared" si="1"/>
        <v>837783.6421</v>
      </c>
      <c r="K9" s="92">
        <f t="shared" si="1"/>
        <v>921562.0063</v>
      </c>
      <c r="L9" s="92">
        <f t="shared" si="1"/>
        <v>1013718.207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2.0" customHeight="1">
      <c r="A10" s="93" t="s">
        <v>120</v>
      </c>
      <c r="B10" s="93"/>
      <c r="C10" s="94">
        <f t="shared" ref="C10:D10" si="2">(C9/B9)-1</f>
        <v>1.3</v>
      </c>
      <c r="D10" s="94">
        <f t="shared" si="2"/>
        <v>0.5</v>
      </c>
      <c r="E10" s="95">
        <v>0.1</v>
      </c>
      <c r="F10" s="95">
        <v>0.1</v>
      </c>
      <c r="G10" s="95">
        <v>0.1</v>
      </c>
      <c r="H10" s="95">
        <v>0.1</v>
      </c>
      <c r="I10" s="95">
        <v>0.1</v>
      </c>
      <c r="J10" s="95">
        <v>0.1</v>
      </c>
      <c r="K10" s="95">
        <v>0.1</v>
      </c>
      <c r="L10" s="95">
        <v>0.1</v>
      </c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ht="12.0" customHeight="1">
      <c r="A11" s="2"/>
      <c r="B11" s="91"/>
      <c r="C11" s="91"/>
      <c r="D11" s="91"/>
      <c r="E11" s="91"/>
      <c r="F11" s="91"/>
      <c r="G11" s="91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2.0" customHeight="1">
      <c r="A12" s="1" t="s">
        <v>16</v>
      </c>
      <c r="B12" s="97">
        <f>INC!D16</f>
        <v>83944.4238</v>
      </c>
      <c r="C12" s="97">
        <f>INC!C16</f>
        <v>130427.7575</v>
      </c>
      <c r="D12" s="97">
        <f>INC!B16</f>
        <v>164666.2261</v>
      </c>
      <c r="E12" s="97">
        <f t="shared" ref="E12:L12" si="3">(E9*E13)</f>
        <v>148256.3523</v>
      </c>
      <c r="F12" s="97">
        <f t="shared" si="3"/>
        <v>163081.9876</v>
      </c>
      <c r="G12" s="97">
        <f t="shared" si="3"/>
        <v>179390.1863</v>
      </c>
      <c r="H12" s="97">
        <f t="shared" si="3"/>
        <v>197329.205</v>
      </c>
      <c r="I12" s="97">
        <f t="shared" si="3"/>
        <v>217062.1255</v>
      </c>
      <c r="J12" s="97">
        <f t="shared" si="3"/>
        <v>238768.338</v>
      </c>
      <c r="K12" s="97">
        <f t="shared" si="3"/>
        <v>262645.1718</v>
      </c>
      <c r="L12" s="97">
        <f t="shared" si="3"/>
        <v>288909.689</v>
      </c>
      <c r="M12" s="97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2.0" customHeight="1">
      <c r="A13" s="98" t="s">
        <v>121</v>
      </c>
      <c r="B13" s="94">
        <f t="shared" ref="B13:D13" si="4">B12/B9</f>
        <v>0.6124</v>
      </c>
      <c r="C13" s="94">
        <f t="shared" si="4"/>
        <v>0.4137</v>
      </c>
      <c r="D13" s="94">
        <f t="shared" si="4"/>
        <v>0.3482</v>
      </c>
      <c r="E13" s="95">
        <v>0.285</v>
      </c>
      <c r="F13" s="99">
        <f t="shared" ref="F13:L13" si="5">E13</f>
        <v>0.285</v>
      </c>
      <c r="G13" s="99">
        <f t="shared" si="5"/>
        <v>0.285</v>
      </c>
      <c r="H13" s="99">
        <f t="shared" si="5"/>
        <v>0.285</v>
      </c>
      <c r="I13" s="99">
        <f t="shared" si="5"/>
        <v>0.285</v>
      </c>
      <c r="J13" s="99">
        <f t="shared" si="5"/>
        <v>0.285</v>
      </c>
      <c r="K13" s="99">
        <f t="shared" si="5"/>
        <v>0.285</v>
      </c>
      <c r="L13" s="99">
        <f t="shared" si="5"/>
        <v>0.285</v>
      </c>
      <c r="M13" s="100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2.0" customHeight="1">
      <c r="A14" s="98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2.0" customHeight="1">
      <c r="A15" s="2" t="s">
        <v>122</v>
      </c>
      <c r="B15" s="92">
        <f>INC!D21</f>
        <v>2097.23985</v>
      </c>
      <c r="C15" s="92">
        <f>INC!C21</f>
        <v>-409.852755</v>
      </c>
      <c r="D15" s="92">
        <f>INC!B21</f>
        <v>520.1977275</v>
      </c>
      <c r="E15" s="101">
        <f t="shared" ref="E15:L15" si="6">E16*E9</f>
        <v>572.2175002</v>
      </c>
      <c r="F15" s="101">
        <f t="shared" si="6"/>
        <v>629.4392503</v>
      </c>
      <c r="G15" s="101">
        <f t="shared" si="6"/>
        <v>692.3831753</v>
      </c>
      <c r="H15" s="101">
        <f t="shared" si="6"/>
        <v>761.6214928</v>
      </c>
      <c r="I15" s="101">
        <f t="shared" si="6"/>
        <v>837.7836421</v>
      </c>
      <c r="J15" s="101">
        <f t="shared" si="6"/>
        <v>921.5620063</v>
      </c>
      <c r="K15" s="101">
        <f t="shared" si="6"/>
        <v>1013.718207</v>
      </c>
      <c r="L15" s="101">
        <f t="shared" si="6"/>
        <v>1115.090028</v>
      </c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2.0" customHeight="1">
      <c r="A16" s="98" t="s">
        <v>123</v>
      </c>
      <c r="B16" s="94">
        <f t="shared" ref="B16:D16" si="7">B15/B9</f>
        <v>0.0153</v>
      </c>
      <c r="C16" s="94">
        <f t="shared" si="7"/>
        <v>-0.0013</v>
      </c>
      <c r="D16" s="94">
        <f t="shared" si="7"/>
        <v>0.0011</v>
      </c>
      <c r="E16" s="99">
        <f t="shared" ref="E16:L16" si="8">D16</f>
        <v>0.0011</v>
      </c>
      <c r="F16" s="99">
        <f t="shared" si="8"/>
        <v>0.0011</v>
      </c>
      <c r="G16" s="99">
        <f t="shared" si="8"/>
        <v>0.0011</v>
      </c>
      <c r="H16" s="99">
        <f t="shared" si="8"/>
        <v>0.0011</v>
      </c>
      <c r="I16" s="99">
        <f t="shared" si="8"/>
        <v>0.0011</v>
      </c>
      <c r="J16" s="99">
        <f t="shared" si="8"/>
        <v>0.0011</v>
      </c>
      <c r="K16" s="99">
        <f t="shared" si="8"/>
        <v>0.0011</v>
      </c>
      <c r="L16" s="99">
        <f t="shared" si="8"/>
        <v>0.0011</v>
      </c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2.0" customHeight="1">
      <c r="A17" s="2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2.0" customHeight="1">
      <c r="A18" s="1" t="s">
        <v>124</v>
      </c>
      <c r="B18" s="102">
        <f>INC!D23</f>
        <v>86041.66365</v>
      </c>
      <c r="C18" s="102">
        <f>INC!C23</f>
        <v>130017.9047</v>
      </c>
      <c r="D18" s="102">
        <f>INC!B23</f>
        <v>165186.4238</v>
      </c>
      <c r="E18" s="102">
        <f t="shared" ref="E18:L18" si="9">E12-E15</f>
        <v>147684.1348</v>
      </c>
      <c r="F18" s="102">
        <f t="shared" si="9"/>
        <v>162452.5483</v>
      </c>
      <c r="G18" s="102">
        <f t="shared" si="9"/>
        <v>178697.8032</v>
      </c>
      <c r="H18" s="102">
        <f t="shared" si="9"/>
        <v>196567.5835</v>
      </c>
      <c r="I18" s="102">
        <f t="shared" si="9"/>
        <v>216224.3418</v>
      </c>
      <c r="J18" s="102">
        <f t="shared" si="9"/>
        <v>237846.776</v>
      </c>
      <c r="K18" s="102">
        <f t="shared" si="9"/>
        <v>261631.4536</v>
      </c>
      <c r="L18" s="102">
        <f t="shared" si="9"/>
        <v>287794.599</v>
      </c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2.0" customHeight="1">
      <c r="A19" s="2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2.0" customHeight="1">
      <c r="A20" s="2" t="s">
        <v>125</v>
      </c>
      <c r="B20" s="92">
        <f>INC!D25</f>
        <v>12476.04123</v>
      </c>
      <c r="C20" s="92">
        <f>INC!C25</f>
        <v>19502.68571</v>
      </c>
      <c r="D20" s="92">
        <f>INC!B25</f>
        <v>23126.09934</v>
      </c>
      <c r="E20" s="92">
        <f t="shared" ref="E20:L20" si="10">(E12+E15)*E21</f>
        <v>20835.99978</v>
      </c>
      <c r="F20" s="92">
        <f t="shared" si="10"/>
        <v>22919.59976</v>
      </c>
      <c r="G20" s="92">
        <f t="shared" si="10"/>
        <v>25211.55973</v>
      </c>
      <c r="H20" s="92">
        <f t="shared" si="10"/>
        <v>27732.7157</v>
      </c>
      <c r="I20" s="92">
        <f t="shared" si="10"/>
        <v>30505.98727</v>
      </c>
      <c r="J20" s="92">
        <f t="shared" si="10"/>
        <v>33556.586</v>
      </c>
      <c r="K20" s="92">
        <f t="shared" si="10"/>
        <v>36912.2446</v>
      </c>
      <c r="L20" s="92">
        <f t="shared" si="10"/>
        <v>40603.46906</v>
      </c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2.0" customHeight="1">
      <c r="A21" s="98" t="s">
        <v>126</v>
      </c>
      <c r="B21" s="94">
        <f>INC!D73</f>
        <v>0.145</v>
      </c>
      <c r="C21" s="94">
        <f>INC!C73</f>
        <v>0.15</v>
      </c>
      <c r="D21" s="94">
        <f>INC!B73</f>
        <v>0.14</v>
      </c>
      <c r="E21" s="99">
        <f t="shared" ref="E21:L21" si="11">D21</f>
        <v>0.14</v>
      </c>
      <c r="F21" s="99">
        <f t="shared" si="11"/>
        <v>0.14</v>
      </c>
      <c r="G21" s="99">
        <f t="shared" si="11"/>
        <v>0.14</v>
      </c>
      <c r="H21" s="99">
        <f t="shared" si="11"/>
        <v>0.14</v>
      </c>
      <c r="I21" s="99">
        <f t="shared" si="11"/>
        <v>0.14</v>
      </c>
      <c r="J21" s="99">
        <f t="shared" si="11"/>
        <v>0.14</v>
      </c>
      <c r="K21" s="99">
        <f t="shared" si="11"/>
        <v>0.14</v>
      </c>
      <c r="L21" s="99">
        <f t="shared" si="11"/>
        <v>0.14</v>
      </c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2.0" customHeight="1">
      <c r="A22" s="2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2.0" customHeight="1">
      <c r="A23" s="89" t="s">
        <v>127</v>
      </c>
      <c r="B23" s="103">
        <f>INC!D26</f>
        <v>73565.62242</v>
      </c>
      <c r="C23" s="103">
        <f>INC!C26</f>
        <v>110515.219</v>
      </c>
      <c r="D23" s="103">
        <f>INC!B26</f>
        <v>142060.3245</v>
      </c>
      <c r="E23" s="103">
        <f t="shared" ref="E23:L23" si="12">E18-E20</f>
        <v>126848.1351</v>
      </c>
      <c r="F23" s="103">
        <f t="shared" si="12"/>
        <v>139532.9486</v>
      </c>
      <c r="G23" s="103">
        <f t="shared" si="12"/>
        <v>153486.2434</v>
      </c>
      <c r="H23" s="103">
        <f t="shared" si="12"/>
        <v>168834.8678</v>
      </c>
      <c r="I23" s="103">
        <f t="shared" si="12"/>
        <v>185718.3545</v>
      </c>
      <c r="J23" s="103">
        <f t="shared" si="12"/>
        <v>204290.19</v>
      </c>
      <c r="K23" s="103">
        <f t="shared" si="12"/>
        <v>224719.209</v>
      </c>
      <c r="L23" s="103">
        <f t="shared" si="12"/>
        <v>247191.1299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>
      <c r="A24" s="98" t="s">
        <v>120</v>
      </c>
      <c r="B24" s="104"/>
      <c r="C24" s="94">
        <f t="shared" ref="C24:L24" si="13">+(C23/B23)-1</f>
        <v>0.5022671649</v>
      </c>
      <c r="D24" s="94">
        <f t="shared" si="13"/>
        <v>0.2854367547</v>
      </c>
      <c r="E24" s="94">
        <f t="shared" si="13"/>
        <v>-0.1070826037</v>
      </c>
      <c r="F24" s="94">
        <f t="shared" si="13"/>
        <v>0.1</v>
      </c>
      <c r="G24" s="94">
        <f t="shared" si="13"/>
        <v>0.1</v>
      </c>
      <c r="H24" s="94">
        <f t="shared" si="13"/>
        <v>0.1</v>
      </c>
      <c r="I24" s="94">
        <f t="shared" si="13"/>
        <v>0.1</v>
      </c>
      <c r="J24" s="94">
        <f t="shared" si="13"/>
        <v>0.1</v>
      </c>
      <c r="K24" s="94">
        <f t="shared" si="13"/>
        <v>0.1</v>
      </c>
      <c r="L24" s="94">
        <f t="shared" si="13"/>
        <v>0.1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2.0" customHeight="1">
      <c r="A25" s="79"/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2.0" customHeight="1">
      <c r="A26" s="2" t="s">
        <v>128</v>
      </c>
      <c r="B26" s="107">
        <f>INC!D75</f>
        <v>5249.95335</v>
      </c>
      <c r="C26" s="107">
        <f>INC!C75</f>
        <v>12074.89271</v>
      </c>
      <c r="D26" s="107">
        <f>INC!B75</f>
        <v>18112.33906</v>
      </c>
      <c r="E26" s="107">
        <f t="shared" ref="E26:L26" si="14">E9*E27</f>
        <v>19923.57296</v>
      </c>
      <c r="F26" s="107">
        <f t="shared" si="14"/>
        <v>21915.93026</v>
      </c>
      <c r="G26" s="107">
        <f t="shared" si="14"/>
        <v>24107.52329</v>
      </c>
      <c r="H26" s="107">
        <f t="shared" si="14"/>
        <v>26518.27561</v>
      </c>
      <c r="I26" s="107">
        <f t="shared" si="14"/>
        <v>29170.10318</v>
      </c>
      <c r="J26" s="107">
        <f t="shared" si="14"/>
        <v>32087.11349</v>
      </c>
      <c r="K26" s="107">
        <f t="shared" si="14"/>
        <v>35295.82484</v>
      </c>
      <c r="L26" s="107">
        <f t="shared" si="14"/>
        <v>38825.40733</v>
      </c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2.0" customHeight="1">
      <c r="A27" s="98" t="s">
        <v>129</v>
      </c>
      <c r="B27" s="94">
        <f t="shared" ref="B27:D27" si="15">B26/B9</f>
        <v>0.0383</v>
      </c>
      <c r="C27" s="94">
        <f t="shared" si="15"/>
        <v>0.0383</v>
      </c>
      <c r="D27" s="94">
        <f t="shared" si="15"/>
        <v>0.0383</v>
      </c>
      <c r="E27" s="95">
        <f t="shared" ref="E27:L27" si="16">D27</f>
        <v>0.0383</v>
      </c>
      <c r="F27" s="95">
        <f t="shared" si="16"/>
        <v>0.0383</v>
      </c>
      <c r="G27" s="95">
        <f t="shared" si="16"/>
        <v>0.0383</v>
      </c>
      <c r="H27" s="95">
        <f t="shared" si="16"/>
        <v>0.0383</v>
      </c>
      <c r="I27" s="95">
        <f t="shared" si="16"/>
        <v>0.0383</v>
      </c>
      <c r="J27" s="95">
        <f t="shared" si="16"/>
        <v>0.0383</v>
      </c>
      <c r="K27" s="95">
        <f t="shared" si="16"/>
        <v>0.0383</v>
      </c>
      <c r="L27" s="95">
        <f t="shared" si="16"/>
        <v>0.0383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2.0" customHeight="1">
      <c r="A28" s="2" t="s">
        <v>130</v>
      </c>
      <c r="B28" s="108">
        <f>INC!D87</f>
        <v>-12776.7825</v>
      </c>
      <c r="C28" s="108">
        <f>INC!C87</f>
        <v>-32966.41725</v>
      </c>
      <c r="D28" s="108">
        <f>INC!B87</f>
        <v>-29162.59988</v>
      </c>
      <c r="E28" s="108">
        <f t="shared" ref="E28:L28" si="17">E29*E9</f>
        <v>-32078.85986</v>
      </c>
      <c r="F28" s="108">
        <f t="shared" si="17"/>
        <v>-35286.74585</v>
      </c>
      <c r="G28" s="108">
        <f t="shared" si="17"/>
        <v>-38815.42043</v>
      </c>
      <c r="H28" s="108">
        <f t="shared" si="17"/>
        <v>-42696.96248</v>
      </c>
      <c r="I28" s="108">
        <f t="shared" si="17"/>
        <v>-46966.65872</v>
      </c>
      <c r="J28" s="108">
        <f t="shared" si="17"/>
        <v>-51663.3246</v>
      </c>
      <c r="K28" s="108">
        <f t="shared" si="17"/>
        <v>-56829.65706</v>
      </c>
      <c r="L28" s="108">
        <f t="shared" si="17"/>
        <v>-62512.62276</v>
      </c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2.0" customHeight="1">
      <c r="A29" s="98" t="s">
        <v>129</v>
      </c>
      <c r="B29" s="94">
        <f t="shared" ref="B29:D29" si="18">B28/B9</f>
        <v>-0.09321049867</v>
      </c>
      <c r="C29" s="94">
        <f t="shared" si="18"/>
        <v>-0.1045652174</v>
      </c>
      <c r="D29" s="94">
        <f t="shared" si="18"/>
        <v>-0.06166666667</v>
      </c>
      <c r="E29" s="99">
        <f t="shared" ref="E29:L29" si="19">D29</f>
        <v>-0.06166666667</v>
      </c>
      <c r="F29" s="99">
        <f t="shared" si="19"/>
        <v>-0.06166666667</v>
      </c>
      <c r="G29" s="99">
        <f t="shared" si="19"/>
        <v>-0.06166666667</v>
      </c>
      <c r="H29" s="99">
        <f t="shared" si="19"/>
        <v>-0.06166666667</v>
      </c>
      <c r="I29" s="99">
        <f t="shared" si="19"/>
        <v>-0.06166666667</v>
      </c>
      <c r="J29" s="99">
        <f t="shared" si="19"/>
        <v>-0.06166666667</v>
      </c>
      <c r="K29" s="99">
        <f t="shared" si="19"/>
        <v>-0.06166666667</v>
      </c>
      <c r="L29" s="99">
        <f t="shared" si="19"/>
        <v>-0.06166666667</v>
      </c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2.0" customHeight="1">
      <c r="A30" s="1" t="s">
        <v>131</v>
      </c>
      <c r="B30" s="107">
        <f>INC!D78</f>
        <v>-5620.0545</v>
      </c>
      <c r="C30" s="107">
        <f>INC!C78</f>
        <v>-12610.854</v>
      </c>
      <c r="D30" s="107">
        <f>INC!B78</f>
        <v>-18443.37398</v>
      </c>
      <c r="E30" s="107">
        <f t="shared" ref="E30:L30" si="20">E31*E9</f>
        <v>-20287.71137</v>
      </c>
      <c r="F30" s="107">
        <f t="shared" si="20"/>
        <v>-22316.48251</v>
      </c>
      <c r="G30" s="107">
        <f t="shared" si="20"/>
        <v>-24548.13076</v>
      </c>
      <c r="H30" s="107">
        <f t="shared" si="20"/>
        <v>-27002.94384</v>
      </c>
      <c r="I30" s="107">
        <f t="shared" si="20"/>
        <v>-29703.23822</v>
      </c>
      <c r="J30" s="107">
        <f t="shared" si="20"/>
        <v>-32673.56204</v>
      </c>
      <c r="K30" s="107">
        <f t="shared" si="20"/>
        <v>-35940.91825</v>
      </c>
      <c r="L30" s="107">
        <f t="shared" si="20"/>
        <v>-39535.01007</v>
      </c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2.0" customHeight="1">
      <c r="A31" s="98" t="s">
        <v>132</v>
      </c>
      <c r="B31" s="94">
        <f t="shared" ref="B31:D31" si="21">B30/B9</f>
        <v>-0.041</v>
      </c>
      <c r="C31" s="94">
        <f t="shared" si="21"/>
        <v>-0.04</v>
      </c>
      <c r="D31" s="94">
        <f t="shared" si="21"/>
        <v>-0.039</v>
      </c>
      <c r="E31" s="95">
        <f t="shared" ref="E31:L31" si="22">D31</f>
        <v>-0.039</v>
      </c>
      <c r="F31" s="95">
        <f t="shared" si="22"/>
        <v>-0.039</v>
      </c>
      <c r="G31" s="95">
        <f t="shared" si="22"/>
        <v>-0.039</v>
      </c>
      <c r="H31" s="95">
        <f t="shared" si="22"/>
        <v>-0.039</v>
      </c>
      <c r="I31" s="95">
        <f t="shared" si="22"/>
        <v>-0.039</v>
      </c>
      <c r="J31" s="95">
        <f t="shared" si="22"/>
        <v>-0.039</v>
      </c>
      <c r="K31" s="95">
        <f t="shared" si="22"/>
        <v>-0.039</v>
      </c>
      <c r="L31" s="95">
        <f t="shared" si="22"/>
        <v>-0.039</v>
      </c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ht="12.0" customHeight="1">
      <c r="A32" s="109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2.0" customHeight="1">
      <c r="A33" s="89" t="s">
        <v>92</v>
      </c>
      <c r="B33" s="111">
        <f t="shared" ref="B33:L33" si="23">+B23+B26+B30+B28</f>
        <v>60418.73877</v>
      </c>
      <c r="C33" s="111">
        <f t="shared" si="23"/>
        <v>77012.84048</v>
      </c>
      <c r="D33" s="111">
        <f t="shared" si="23"/>
        <v>112566.6897</v>
      </c>
      <c r="E33" s="111">
        <f t="shared" si="23"/>
        <v>94405.13679</v>
      </c>
      <c r="F33" s="111">
        <f t="shared" si="23"/>
        <v>103845.6505</v>
      </c>
      <c r="G33" s="111">
        <f t="shared" si="23"/>
        <v>114230.2155</v>
      </c>
      <c r="H33" s="111">
        <f t="shared" si="23"/>
        <v>125653.2371</v>
      </c>
      <c r="I33" s="111">
        <f t="shared" si="23"/>
        <v>138218.5608</v>
      </c>
      <c r="J33" s="111">
        <f t="shared" si="23"/>
        <v>152040.4168</v>
      </c>
      <c r="K33" s="111">
        <f t="shared" si="23"/>
        <v>167244.4585</v>
      </c>
      <c r="L33" s="111">
        <f t="shared" si="23"/>
        <v>183968.9044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2.0" customHeight="1">
      <c r="A34" s="98" t="s">
        <v>120</v>
      </c>
      <c r="B34" s="98"/>
      <c r="C34" s="94">
        <f t="shared" ref="C34:L34" si="24">+(C33/B33)-1</f>
        <v>0.2746515742</v>
      </c>
      <c r="D34" s="94">
        <f t="shared" si="24"/>
        <v>0.4616613151</v>
      </c>
      <c r="E34" s="94">
        <f t="shared" si="24"/>
        <v>-0.1613403838</v>
      </c>
      <c r="F34" s="94">
        <f t="shared" si="24"/>
        <v>0.1</v>
      </c>
      <c r="G34" s="94">
        <f t="shared" si="24"/>
        <v>0.1</v>
      </c>
      <c r="H34" s="94">
        <f t="shared" si="24"/>
        <v>0.1</v>
      </c>
      <c r="I34" s="94">
        <f t="shared" si="24"/>
        <v>0.1</v>
      </c>
      <c r="J34" s="94">
        <f t="shared" si="24"/>
        <v>0.1</v>
      </c>
      <c r="K34" s="94">
        <f t="shared" si="24"/>
        <v>0.1</v>
      </c>
      <c r="L34" s="94">
        <f t="shared" si="24"/>
        <v>0.1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2.0" customHeight="1">
      <c r="A35" s="79"/>
      <c r="B35" s="79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2.0" customHeight="1">
      <c r="A36" s="2" t="s">
        <v>133</v>
      </c>
      <c r="B36" s="6">
        <f t="array" ref="B36">+NPV(G3,C33:L33)</f>
        <v>663640.2966</v>
      </c>
      <c r="C36" s="106">
        <f>($B$36/$B$38)</f>
        <v>0.150987823</v>
      </c>
      <c r="D36" s="79"/>
      <c r="E36" s="107"/>
      <c r="F36" s="107"/>
      <c r="G36" s="107"/>
      <c r="H36" s="107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2.0" customHeight="1">
      <c r="A37" s="112" t="s">
        <v>134</v>
      </c>
      <c r="B37" s="113">
        <f>L37/(1+G3)^10</f>
        <v>3731683.005</v>
      </c>
      <c r="C37" s="114">
        <f>($B$37/$B$38)</f>
        <v>0.849012177</v>
      </c>
      <c r="D37" s="79"/>
      <c r="E37" s="107"/>
      <c r="F37" s="107"/>
      <c r="G37" s="107"/>
      <c r="H37" s="107"/>
      <c r="I37" s="79"/>
      <c r="J37" s="79"/>
      <c r="K37" s="80" t="s">
        <v>135</v>
      </c>
      <c r="L37" s="115">
        <f>+(L33*(1+G4))/(G3-G4)</f>
        <v>11590040.98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2.0" customHeight="1">
      <c r="A38" s="2" t="s">
        <v>136</v>
      </c>
      <c r="B38" s="6">
        <f>(+B36+B37)</f>
        <v>4395323.302</v>
      </c>
      <c r="C38" s="106">
        <f>C36+C37</f>
        <v>1</v>
      </c>
      <c r="D38" s="79"/>
      <c r="E38" s="79"/>
      <c r="F38" s="79"/>
      <c r="G38" s="107"/>
      <c r="H38" s="107"/>
      <c r="I38" s="79"/>
      <c r="J38" s="79"/>
      <c r="K38" s="116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2.0" customHeight="1">
      <c r="A39" s="2" t="s">
        <v>137</v>
      </c>
      <c r="B39" s="31">
        <f>B33/(B46*B48)</f>
        <v>0.01802100501</v>
      </c>
      <c r="C39" s="107"/>
      <c r="D39" s="79"/>
      <c r="E39" s="107"/>
      <c r="F39" s="107"/>
      <c r="G39" s="107"/>
      <c r="H39" s="107"/>
      <c r="I39" s="79"/>
      <c r="J39" s="79"/>
      <c r="K39" s="80" t="s">
        <v>138</v>
      </c>
      <c r="L39" s="31">
        <f>L33/L37</f>
        <v>0.01587301587</v>
      </c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2.0" customHeight="1">
      <c r="A40" s="2"/>
      <c r="B40" s="31"/>
      <c r="C40" s="107"/>
      <c r="D40" s="79"/>
      <c r="E40" s="107"/>
      <c r="F40" s="107"/>
      <c r="G40" s="107"/>
      <c r="H40" s="107"/>
      <c r="I40" s="79"/>
      <c r="J40" s="79"/>
      <c r="K40" s="80"/>
      <c r="L40" s="31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2.0" customHeight="1">
      <c r="A41" s="2" t="s">
        <v>104</v>
      </c>
      <c r="B41" s="117">
        <f>($B$46*$B$48)/B$23</f>
        <v>45.57406149</v>
      </c>
      <c r="C41" s="117">
        <f t="shared" ref="C41:D41" si="25">($B46*$B48)/C23</f>
        <v>30.33685523</v>
      </c>
      <c r="D41" s="117">
        <f t="shared" si="25"/>
        <v>23.60042617</v>
      </c>
      <c r="E41" s="79"/>
      <c r="F41" s="79"/>
      <c r="G41" s="107"/>
      <c r="H41" s="107"/>
      <c r="I41" s="79"/>
      <c r="J41" s="79"/>
      <c r="K41" s="80" t="s">
        <v>139</v>
      </c>
      <c r="L41" s="118">
        <f>L37/L23</f>
        <v>46.88696144</v>
      </c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2.0" customHeight="1">
      <c r="A42" s="96" t="s">
        <v>140</v>
      </c>
      <c r="B42" s="119">
        <f t="shared" ref="B42:D42" si="26">($B$46*$B$49)/B$23</f>
        <v>59.74697362</v>
      </c>
      <c r="C42" s="119">
        <f t="shared" si="26"/>
        <v>39.77120383</v>
      </c>
      <c r="D42" s="119">
        <f t="shared" si="26"/>
        <v>30.93983713</v>
      </c>
      <c r="E42" s="79"/>
      <c r="F42" s="79"/>
      <c r="G42" s="107"/>
      <c r="H42" s="107"/>
      <c r="I42" s="79"/>
      <c r="J42" s="79"/>
      <c r="K42" s="80"/>
      <c r="L42" s="118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2.0" customHeight="1">
      <c r="A43" s="2" t="s">
        <v>141</v>
      </c>
      <c r="B43" s="117">
        <f t="shared" ref="B43:D43" si="27">(($B$46*$B$48)+$B$52-$B$53)/(B$12+B$26)</f>
        <v>37.25217111</v>
      </c>
      <c r="C43" s="117">
        <f t="shared" si="27"/>
        <v>23.31664846</v>
      </c>
      <c r="D43" s="117">
        <f t="shared" si="27"/>
        <v>18.17874102</v>
      </c>
      <c r="E43" s="107"/>
      <c r="F43" s="107"/>
      <c r="G43" s="107"/>
      <c r="H43" s="107"/>
      <c r="I43" s="79"/>
      <c r="J43" s="79"/>
      <c r="K43" s="80" t="s">
        <v>142</v>
      </c>
      <c r="L43" s="117">
        <f>(L37+B52-B53)/(L12+L26)</f>
        <v>35.27251462</v>
      </c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2.0" customHeight="1">
      <c r="A44" s="96" t="s">
        <v>143</v>
      </c>
      <c r="B44" s="119">
        <f t="shared" ref="B44:D44" si="28">(($B$46*$B$49)+$B$52-$B$53)/(B$12+B$26)</f>
        <v>48.94168715</v>
      </c>
      <c r="C44" s="119">
        <f t="shared" si="28"/>
        <v>30.63327802</v>
      </c>
      <c r="D44" s="119">
        <f t="shared" si="28"/>
        <v>23.88312491</v>
      </c>
      <c r="E44" s="107"/>
      <c r="F44" s="107"/>
      <c r="G44" s="107"/>
      <c r="H44" s="107"/>
      <c r="I44" s="79"/>
      <c r="J44" s="79"/>
      <c r="K44" s="79"/>
      <c r="L44" s="80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2.0" customHeight="1">
      <c r="A45" s="2"/>
      <c r="B45" s="117"/>
      <c r="C45" s="117"/>
      <c r="D45" s="117"/>
      <c r="E45" s="107"/>
      <c r="F45" s="107"/>
      <c r="G45" s="107"/>
      <c r="H45" s="107"/>
      <c r="I45" s="79"/>
      <c r="J45" s="79"/>
      <c r="K45" s="79"/>
      <c r="L45" s="80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2.0" customHeight="1">
      <c r="A46" s="2" t="s">
        <v>144</v>
      </c>
      <c r="B46" s="10">
        <f>INC!D38</f>
        <v>24940</v>
      </c>
      <c r="C46" s="117"/>
      <c r="D46" s="117"/>
      <c r="E46" s="107"/>
      <c r="F46" s="107"/>
      <c r="G46" s="107"/>
      <c r="H46" s="107"/>
      <c r="I46" s="79"/>
      <c r="J46" s="79"/>
      <c r="K46" s="79"/>
      <c r="L46" s="80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2.0" customHeight="1">
      <c r="A47" s="79"/>
      <c r="B47" s="120"/>
      <c r="C47" s="79"/>
      <c r="D47" s="79"/>
      <c r="E47" s="107"/>
      <c r="F47" s="107"/>
      <c r="G47" s="107"/>
      <c r="H47" s="107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2.0" customHeight="1">
      <c r="A48" s="2" t="s">
        <v>145</v>
      </c>
      <c r="B48" s="121">
        <v>134.43</v>
      </c>
      <c r="C48" s="107"/>
      <c r="D48" s="79"/>
      <c r="E48" s="2"/>
      <c r="F48" s="79"/>
      <c r="G48" s="107"/>
      <c r="H48" s="107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2.0" customHeight="1">
      <c r="A49" s="2" t="s">
        <v>146</v>
      </c>
      <c r="B49" s="122">
        <f>+B38/B46</f>
        <v>176.2358982</v>
      </c>
      <c r="C49" s="107"/>
      <c r="D49" s="79"/>
      <c r="E49" s="106"/>
      <c r="F49" s="106"/>
      <c r="G49" s="106"/>
      <c r="H49" s="106"/>
      <c r="I49" s="106"/>
      <c r="J49" s="106"/>
      <c r="K49" s="106"/>
      <c r="L49" s="106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2.0" customHeight="1">
      <c r="A50" s="2" t="s">
        <v>147</v>
      </c>
      <c r="B50" s="123">
        <f>(B49-B48)/B48</f>
        <v>0.3109863739</v>
      </c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2.0" customHeight="1">
      <c r="A51" s="79"/>
      <c r="B51" s="120"/>
      <c r="C51" s="124"/>
      <c r="D51" s="107"/>
      <c r="E51" s="107"/>
      <c r="F51" s="107"/>
      <c r="G51" s="107"/>
      <c r="H51" s="107"/>
      <c r="I51" s="107"/>
      <c r="J51" s="107"/>
      <c r="K51" s="107"/>
      <c r="L51" s="107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2.0" customHeight="1">
      <c r="A52" s="2" t="s">
        <v>148</v>
      </c>
      <c r="B52" s="125">
        <v>8500.0</v>
      </c>
      <c r="C52" s="106"/>
      <c r="D52" s="126"/>
      <c r="E52" s="126"/>
      <c r="F52" s="126"/>
      <c r="G52" s="126"/>
      <c r="H52" s="126"/>
      <c r="I52" s="126"/>
      <c r="J52" s="126"/>
      <c r="K52" s="126"/>
      <c r="L52" s="126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2.0" customHeight="1">
      <c r="A53" s="2" t="s">
        <v>149</v>
      </c>
      <c r="B53" s="125">
        <v>38500.0</v>
      </c>
      <c r="C53" s="107"/>
      <c r="D53" s="105"/>
      <c r="E53" s="105"/>
      <c r="F53" s="105"/>
      <c r="G53" s="105"/>
      <c r="H53" s="105"/>
      <c r="I53" s="105"/>
      <c r="J53" s="105"/>
      <c r="K53" s="105"/>
      <c r="L53" s="105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2.0" customHeight="1">
      <c r="A54" s="2" t="s">
        <v>150</v>
      </c>
      <c r="B54" s="15">
        <f>B53/B46</f>
        <v>1.543704892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2.0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2.0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2.0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2.0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2.0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2.0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2.0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2.0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2.0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2.0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2.0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2.0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2.0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2.0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2.0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2.0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2.0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2.0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2.0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2.0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2.0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2.0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2.0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2.0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2.0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2.0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2.0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2.0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2.0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2.0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2.0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2.0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2.0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2.0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2.0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2.0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2.0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2.0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2.0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2.0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2.0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2.0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2.0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2.0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2.0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2.0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2.0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2.0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2.0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2.0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2.0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2.0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2.0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2.0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2.0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2.0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2.0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2.0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2.0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2.0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2.0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2.0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2.0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2.0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2.0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2.0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2.0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2.0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2.0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2.0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2.0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2.0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2.0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2.0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2.0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2.0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2.0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2.0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2.0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2.0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2.0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2.0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2.0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2.0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2.0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2.0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2.0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2.0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2.0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2.0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2.0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2.0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2.0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2.0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2.0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2.0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2.0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2.0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2.0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2.0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2.0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2.0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2.0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2.0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2.0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2.0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2.0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2.0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2.0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2.0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2.0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2.0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2.0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2.0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2.0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2.0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2.0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2.0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2.0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2.0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2.0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2.0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2.0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2.0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2.0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2.0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2.0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2.0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2.0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2.0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2.0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2.0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2.0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2.0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2.0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2.0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2.0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2.0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2.0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2.0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2.0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2.0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2.0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2.0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2.0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2.0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2.0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2.0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2.0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2.0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2.0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2.0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2.0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2.0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2.0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2.0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2.0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2.0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2.0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2.0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2.0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2.0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2.0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2.0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2.0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2.0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2.0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2.0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2.0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2.0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2.0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2.0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2.0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2.0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2.0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2.0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2.0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2.0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2.0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2.0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2.0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2.0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2.0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2.0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2.0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2.0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2.0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2.0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2.0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2.0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2.0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2.0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2.0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2.0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2.0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2.0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2.0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2.0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2.0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2.0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2.0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2.0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2.0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2.0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2.0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2.0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2.0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2.0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2.0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2.0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2.0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2.0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2.0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2.0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2.0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2.0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2.0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2.0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2.0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2.0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2.0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2.0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2.0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2.0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2.0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2.0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2.0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2.0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2.0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2.0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2.0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2.0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2.0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2.0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2.0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2.0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2.0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2.0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2.0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2.0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2.0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2.0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2.0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2.0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2.0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2.0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2.0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2.0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2.0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2.0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2.0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2.0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2.0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2.0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2.0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2.0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2.0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2.0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2.0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2.0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2.0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2.0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2.0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2.0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2.0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2.0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2.0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2.0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2.0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2.0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2.0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2.0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2.0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2.0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2.0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2.0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2.0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2.0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2.0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2.0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2.0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2.0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2.0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2.0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2.0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2.0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2.0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2.0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2.0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2.0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2.0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2.0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2.0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2.0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2.0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2.0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2.0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2.0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2.0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2.0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2.0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2.0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2.0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2.0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2.0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2.0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2.0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2.0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2.0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2.0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2.0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2.0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2.0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2.0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2.0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2.0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2.0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2.0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2.0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2.0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2.0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2.0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2.0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2.0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2.0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2.0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2.0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2.0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2.0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2.0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2.0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2.0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2.0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2.0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2.0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2.0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2.0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2.0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2.0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2.0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2.0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2.0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2.0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2.0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2.0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2.0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2.0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2.0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2.0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2.0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2.0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2.0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2.0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2.0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2.0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2.0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2.0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2.0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2.0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2.0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2.0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2.0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2.0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2.0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2.0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2.0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2.0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2.0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2.0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2.0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2.0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2.0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2.0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2.0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2.0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2.0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2.0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2.0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2.0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2.0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2.0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2.0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2.0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2.0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2.0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2.0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2.0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2.0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2.0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2.0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2.0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2.0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2.0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2.0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2.0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2.0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2.0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2.0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2.0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2.0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2.0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2.0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2.0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2.0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2.0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2.0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2.0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2.0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2.0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2.0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2.0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2.0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2.0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2.0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2.0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2.0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2.0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2.0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2.0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2.0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2.0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2.0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2.0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2.0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2.0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2.0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2.0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2.0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2.0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2.0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2.0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2.0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2.0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2.0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2.0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2.0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2.0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2.0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2.0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2.0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2.0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2.0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2.0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2.0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2.0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2.0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2.0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2.0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2.0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2.0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2.0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2.0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2.0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2.0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2.0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2.0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2.0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2.0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2.0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2.0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2.0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2.0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2.0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2.0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2.0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2.0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2.0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2.0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2.0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2.0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2.0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2.0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2.0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2.0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2.0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2.0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2.0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2.0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2.0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2.0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2.0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2.0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2.0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2.0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2.0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2.0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2.0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2.0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2.0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2.0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2.0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2.0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2.0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2.0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2.0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2.0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2.0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2.0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2.0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2.0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2.0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2.0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2.0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2.0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2.0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2.0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2.0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2.0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2.0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2.0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2.0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2.0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2.0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2.0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2.0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2.0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2.0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2.0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2.0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2.0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2.0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2.0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2.0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2.0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2.0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2.0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2.0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2.0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2.0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2.0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2.0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2.0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2.0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2.0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2.0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2.0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2.0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2.0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2.0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2.0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2.0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2.0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2.0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2.0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2.0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2.0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2.0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2.0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2.0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2.0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2.0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2.0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2.0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2.0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2.0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2.0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2.0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2.0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2.0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2.0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2.0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2.0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2.0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2.0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2.0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2.0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2.0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2.0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2.0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2.0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2.0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2.0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2.0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2.0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2.0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2.0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2.0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2.0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2.0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2.0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2.0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2.0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2.0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2.0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2.0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2.0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2.0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2.0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2.0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2.0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2.0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2.0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2.0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2.0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2.0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2.0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2.0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2.0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2.0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2.0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2.0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2.0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2.0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2.0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2.0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2.0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2.0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2.0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2.0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2.0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2.0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2.0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2.0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2.0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2.0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2.0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2.0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2.0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2.0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2.0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2.0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2.0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2.0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2.0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2.0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2.0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2.0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2.0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2.0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2.0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2.0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2.0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2.0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2.0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2.0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2.0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2.0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2.0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2.0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2.0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2.0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2.0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2.0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2.0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2.0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2.0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2.0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2.0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2.0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2.0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2.0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2.0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2.0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2.0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2.0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2.0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2.0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2.0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2.0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2.0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2.0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2.0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2.0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2.0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2.0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2.0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2.0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2.0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2.0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2.0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2.0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2.0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2.0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2.0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2.0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2.0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2.0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2.0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2.0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2.0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2.0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2.0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2.0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2.0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2.0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2.0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2.0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2.0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2.0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2.0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2.0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2.0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2.0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2.0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2.0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2.0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2.0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2.0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2.0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2.0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2.0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2.0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2.0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2.0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2.0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2.0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2.0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2.0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2.0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2.0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2.0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2.0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2.0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2.0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2.0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2.0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2.0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2.0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2.0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2.0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2.0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2.0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2.0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2.0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2.0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2.0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2.0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2.0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2.0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2.0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2.0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2.0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2.0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2.0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2.0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2.0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2.0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2.0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2.0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2.0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2.0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2.0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2.0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2.0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2.0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2.0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2.0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2.0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2.0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2.0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2.0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2.0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2.0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2.0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2.0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2.0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2.0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2.0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2.0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2.0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2.0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2.0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2.0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2.0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2.0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2.0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2.0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2.0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2.0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2.0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2.0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2.0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2.0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2.0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2.0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2.0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2.0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2.0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2.0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2.0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2.0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2.0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2.0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2.0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2.0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2.0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2.0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2.0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2.0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2.0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2.0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2.0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2.0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2.0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2.0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2.0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2.0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2.0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2.0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2.0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2.0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2.0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2.0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2.0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2.0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2.0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2.0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2.0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2.0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2.0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2.0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2.0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2.0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2.0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2.0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2.0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2.0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2.0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2.0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2.0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2.0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2.0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2.0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2.0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2.0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2.0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2.0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2.0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2.0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2.0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2.0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2.0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2.0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2.0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2.0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2.0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2.0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2.0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2.0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2.0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2.0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2.0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2.0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2.0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2.0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2.0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2.0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2.0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2.0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2.0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2.0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2.0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2.0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2.0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2.0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2.0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2.0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2.0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2.0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2.0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2.0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2.0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2.0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2.0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2.0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2.0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2.0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2.0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2.0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2.0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2.0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2.0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2.0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2.0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2.0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2.0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2.0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2.0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2.0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2.0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2.0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2.0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2.0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2.0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2.0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2.0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2.0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2.0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2.0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2.0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2.0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2.0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2.0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2.0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2.0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2.0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2.0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2.0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2.0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2.0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2.0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2.0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2.0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2.0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2.0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2.0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2.0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2.0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2.0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2.0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2.0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2.0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2.0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2.0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2.0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2.0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2.0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2.0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2.0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2.0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2.0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2.0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2.0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2.0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2.0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2.0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2.0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2.0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2.0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2.0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2.0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2.0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2.0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2.0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2.0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2.0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2.0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2.0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2.0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2.0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2.0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2.0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2.0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2.0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2.0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2.0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  <row r="1001" ht="12.0" customHeight="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</row>
    <row r="1002" ht="12.0" customHeight="1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</row>
    <row r="1003" ht="12.0" customHeight="1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</row>
  </sheetData>
  <conditionalFormatting sqref="B10:L11 B25 C25:L26">
    <cfRule type="cellIs" dxfId="3" priority="1" stopIfTrue="1" operator="lessThan">
      <formula>0</formula>
    </cfRule>
  </conditionalFormatting>
  <conditionalFormatting sqref="B24:K24 C25:K25 L24:L25">
    <cfRule type="cellIs" dxfId="3" priority="2" stopIfTrue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11.5"/>
    <col customWidth="1" min="3" max="3" width="16.13"/>
    <col customWidth="1" min="4" max="4" width="18.63"/>
    <col customWidth="1" min="5" max="6" width="15.88"/>
    <col customWidth="1" min="7" max="7" width="14.5"/>
    <col customWidth="1" min="16" max="16" width="26.38"/>
  </cols>
  <sheetData>
    <row r="1">
      <c r="A1" s="127" t="s">
        <v>151</v>
      </c>
      <c r="B1" s="128"/>
      <c r="C1" s="128"/>
      <c r="D1" s="128"/>
      <c r="E1" s="128"/>
      <c r="F1" s="128"/>
      <c r="G1" s="128"/>
      <c r="H1" s="128"/>
    </row>
    <row r="2">
      <c r="A2" s="129" t="s">
        <v>152</v>
      </c>
      <c r="B2" s="129" t="s">
        <v>153</v>
      </c>
      <c r="C2" s="129" t="s">
        <v>154</v>
      </c>
      <c r="D2" s="129" t="s">
        <v>155</v>
      </c>
      <c r="E2" s="129" t="s">
        <v>156</v>
      </c>
      <c r="F2" s="129" t="s">
        <v>157</v>
      </c>
      <c r="G2" s="129" t="s">
        <v>158</v>
      </c>
      <c r="H2" s="129" t="s">
        <v>159</v>
      </c>
    </row>
    <row r="3">
      <c r="A3" s="130" t="s">
        <v>160</v>
      </c>
      <c r="B3" s="131"/>
      <c r="C3" s="131">
        <f t="shared" ref="C3:G3" si="1">AVERAGE(C4:C10)</f>
        <v>74.97571429</v>
      </c>
      <c r="D3" s="131">
        <f t="shared" si="1"/>
        <v>10.45142857</v>
      </c>
      <c r="E3" s="131">
        <f t="shared" si="1"/>
        <v>12.46285714</v>
      </c>
      <c r="F3" s="131">
        <f t="shared" si="1"/>
        <v>41.37333333</v>
      </c>
      <c r="G3" s="131">
        <f t="shared" si="1"/>
        <v>41.79</v>
      </c>
      <c r="H3" s="128"/>
    </row>
    <row r="4">
      <c r="A4" s="132" t="s">
        <v>161</v>
      </c>
      <c r="B4" s="133" t="s">
        <v>0</v>
      </c>
      <c r="C4" s="133">
        <v>54.82</v>
      </c>
      <c r="D4" s="133">
        <v>30.48</v>
      </c>
      <c r="E4" s="133">
        <v>51.6</v>
      </c>
      <c r="F4" s="133">
        <v>61.27</v>
      </c>
      <c r="G4" s="133">
        <v>45.04</v>
      </c>
      <c r="H4" s="133" t="s">
        <v>162</v>
      </c>
      <c r="Q4" s="134"/>
    </row>
    <row r="5">
      <c r="A5" s="135" t="s">
        <v>163</v>
      </c>
      <c r="B5" s="136" t="s">
        <v>163</v>
      </c>
      <c r="C5" s="136">
        <v>114.28</v>
      </c>
      <c r="D5" s="136">
        <v>7.18</v>
      </c>
      <c r="E5" s="136">
        <v>3.18</v>
      </c>
      <c r="F5" s="136">
        <v>77.74</v>
      </c>
      <c r="G5" s="136">
        <v>34.3</v>
      </c>
      <c r="H5" s="136" t="s">
        <v>164</v>
      </c>
      <c r="Q5" s="134"/>
    </row>
    <row r="6">
      <c r="A6" s="132" t="s">
        <v>165</v>
      </c>
      <c r="B6" s="133" t="s">
        <v>166</v>
      </c>
      <c r="C6" s="133">
        <v>88.08</v>
      </c>
      <c r="D6" s="133">
        <v>1.9</v>
      </c>
      <c r="E6" s="133">
        <v>1.03</v>
      </c>
      <c r="F6" s="133" t="s">
        <v>167</v>
      </c>
      <c r="G6" s="133">
        <v>108.18</v>
      </c>
      <c r="H6" s="133" t="s">
        <v>168</v>
      </c>
    </row>
    <row r="7">
      <c r="A7" s="135" t="s">
        <v>169</v>
      </c>
      <c r="B7" s="136" t="s">
        <v>170</v>
      </c>
      <c r="C7" s="136">
        <v>18.73</v>
      </c>
      <c r="D7" s="136">
        <v>4.78</v>
      </c>
      <c r="E7" s="136">
        <v>7.09</v>
      </c>
      <c r="F7" s="136">
        <v>15.39</v>
      </c>
      <c r="G7" s="136">
        <v>14.24</v>
      </c>
      <c r="H7" s="136" t="s">
        <v>171</v>
      </c>
    </row>
    <row r="8">
      <c r="A8" s="132" t="s">
        <v>172</v>
      </c>
      <c r="B8" s="133" t="s">
        <v>173</v>
      </c>
      <c r="C8" s="133">
        <v>178.54</v>
      </c>
      <c r="D8" s="133">
        <v>21.59</v>
      </c>
      <c r="E8" s="133">
        <v>16.14</v>
      </c>
      <c r="F8" s="133">
        <v>55.66</v>
      </c>
      <c r="G8" s="133">
        <v>48.18</v>
      </c>
      <c r="H8" s="133" t="s">
        <v>174</v>
      </c>
    </row>
    <row r="9">
      <c r="A9" s="135" t="s">
        <v>175</v>
      </c>
      <c r="B9" s="136" t="s">
        <v>176</v>
      </c>
      <c r="C9" s="136">
        <v>28.33</v>
      </c>
      <c r="D9" s="136">
        <v>4.82</v>
      </c>
      <c r="E9" s="136">
        <v>5.67</v>
      </c>
      <c r="F9" s="136">
        <v>20.31</v>
      </c>
      <c r="G9" s="136">
        <v>18.65</v>
      </c>
      <c r="H9" s="136" t="s">
        <v>177</v>
      </c>
    </row>
    <row r="10">
      <c r="A10" s="132" t="s">
        <v>178</v>
      </c>
      <c r="B10" s="133" t="s">
        <v>179</v>
      </c>
      <c r="C10" s="133">
        <v>42.05</v>
      </c>
      <c r="D10" s="133">
        <v>2.41</v>
      </c>
      <c r="E10" s="133">
        <v>2.53</v>
      </c>
      <c r="F10" s="133">
        <v>17.87</v>
      </c>
      <c r="G10" s="133">
        <v>23.94</v>
      </c>
      <c r="H10" s="133" t="s">
        <v>180</v>
      </c>
    </row>
    <row r="11">
      <c r="A11" s="128"/>
      <c r="B11" s="128"/>
      <c r="C11" s="128"/>
      <c r="D11" s="128"/>
      <c r="E11" s="128"/>
      <c r="F11" s="128"/>
      <c r="G11" s="128"/>
      <c r="H11" s="128"/>
    </row>
    <row r="12">
      <c r="A12" s="136" t="s">
        <v>181</v>
      </c>
      <c r="B12" s="128"/>
      <c r="C12" s="128"/>
      <c r="D12" s="128"/>
      <c r="E12" s="128"/>
      <c r="F12" s="128"/>
      <c r="G12" s="128"/>
      <c r="H12" s="128"/>
    </row>
    <row r="13">
      <c r="A13" s="137" t="s">
        <v>182</v>
      </c>
      <c r="B13" s="138">
        <v>134.43</v>
      </c>
      <c r="C13" s="139"/>
      <c r="D13" s="139"/>
      <c r="E13" s="140"/>
      <c r="F13" s="128"/>
      <c r="G13" s="128"/>
      <c r="H13" s="128"/>
    </row>
    <row r="14">
      <c r="A14" s="141" t="s">
        <v>183</v>
      </c>
      <c r="B14" s="142" t="s">
        <v>184</v>
      </c>
      <c r="C14" s="142" t="s">
        <v>185</v>
      </c>
      <c r="D14" s="142" t="s">
        <v>186</v>
      </c>
      <c r="E14" s="143" t="s">
        <v>187</v>
      </c>
      <c r="F14" s="128"/>
      <c r="G14" s="128"/>
      <c r="H14" s="128"/>
    </row>
    <row r="15">
      <c r="A15" s="144"/>
      <c r="B15" s="145" t="s">
        <v>188</v>
      </c>
      <c r="C15" s="146"/>
      <c r="D15" s="147" t="s">
        <v>189</v>
      </c>
      <c r="E15" s="148"/>
      <c r="F15" s="128"/>
      <c r="G15" s="128"/>
      <c r="H15" s="128"/>
    </row>
    <row r="16">
      <c r="A16" s="149" t="s">
        <v>154</v>
      </c>
      <c r="B16" s="150">
        <v>54.82</v>
      </c>
      <c r="C16" s="151">
        <v>74.98</v>
      </c>
      <c r="D16" s="152">
        <f t="shared" ref="D16:D19" si="2">C16/B16</f>
        <v>1.367748997</v>
      </c>
      <c r="E16" s="153">
        <f t="shared" ref="E16:E19" si="3">$B$13*D16</f>
        <v>183.8664976</v>
      </c>
      <c r="F16" s="128"/>
      <c r="G16" s="128"/>
      <c r="H16" s="128"/>
    </row>
    <row r="17">
      <c r="A17" s="154" t="s">
        <v>156</v>
      </c>
      <c r="B17" s="155">
        <v>51.6</v>
      </c>
      <c r="C17" s="151">
        <v>51.6</v>
      </c>
      <c r="D17" s="156">
        <f t="shared" si="2"/>
        <v>1</v>
      </c>
      <c r="E17" s="157">
        <f t="shared" si="3"/>
        <v>134.43</v>
      </c>
      <c r="F17" s="128"/>
      <c r="G17" s="128"/>
      <c r="H17" s="128"/>
    </row>
    <row r="18">
      <c r="A18" s="149" t="s">
        <v>155</v>
      </c>
      <c r="B18" s="150">
        <v>30.48</v>
      </c>
      <c r="C18" s="151">
        <v>41.0</v>
      </c>
      <c r="D18" s="152">
        <f t="shared" si="2"/>
        <v>1.345144357</v>
      </c>
      <c r="E18" s="153">
        <f t="shared" si="3"/>
        <v>180.8277559</v>
      </c>
      <c r="F18" s="128"/>
      <c r="G18" s="128"/>
      <c r="H18" s="128"/>
    </row>
    <row r="19">
      <c r="A19" s="158" t="s">
        <v>157</v>
      </c>
      <c r="B19" s="159">
        <v>61.27</v>
      </c>
      <c r="C19" s="160">
        <v>55.0</v>
      </c>
      <c r="D19" s="161">
        <f t="shared" si="2"/>
        <v>0.8976660682</v>
      </c>
      <c r="E19" s="162">
        <f t="shared" si="3"/>
        <v>120.6732496</v>
      </c>
      <c r="F19" s="128"/>
      <c r="G19" s="128"/>
      <c r="H19" s="128"/>
    </row>
    <row r="20">
      <c r="A20" s="128"/>
      <c r="B20" s="128"/>
      <c r="C20" s="128"/>
      <c r="D20" s="163" t="s">
        <v>190</v>
      </c>
      <c r="E20" s="164">
        <f>AVERAGE(E15:E19)</f>
        <v>154.9493758</v>
      </c>
      <c r="F20" s="128"/>
      <c r="G20" s="128"/>
      <c r="H20" s="128"/>
    </row>
    <row r="21">
      <c r="A21" s="128"/>
      <c r="B21" s="128"/>
      <c r="C21" s="128"/>
      <c r="D21" s="128"/>
      <c r="E21" s="128"/>
      <c r="F21" s="128"/>
      <c r="G21" s="128"/>
      <c r="H21" s="128"/>
    </row>
    <row r="22">
      <c r="A22" s="128"/>
      <c r="B22" s="128"/>
      <c r="C22" s="128"/>
      <c r="D22" s="128"/>
      <c r="E22" s="128"/>
      <c r="F22" s="128"/>
      <c r="G22" s="128"/>
      <c r="H22" s="128"/>
    </row>
    <row r="23">
      <c r="A23" s="128"/>
      <c r="B23" s="128"/>
      <c r="C23" s="128"/>
      <c r="D23" s="128"/>
      <c r="E23" s="128"/>
      <c r="F23" s="128"/>
      <c r="G23" s="128"/>
      <c r="H23" s="128"/>
    </row>
    <row r="24">
      <c r="A24" s="128"/>
      <c r="B24" s="128"/>
      <c r="C24" s="128"/>
      <c r="D24" s="128"/>
      <c r="E24" s="128"/>
      <c r="F24" s="128"/>
      <c r="G24" s="128"/>
      <c r="H24" s="128"/>
    </row>
    <row r="25">
      <c r="A25" s="165" t="s">
        <v>191</v>
      </c>
      <c r="B25" s="165" t="s">
        <v>192</v>
      </c>
      <c r="C25" s="165" t="s">
        <v>193</v>
      </c>
      <c r="D25" s="165" t="s">
        <v>194</v>
      </c>
      <c r="E25" s="165" t="s">
        <v>195</v>
      </c>
      <c r="F25" s="165" t="s">
        <v>196</v>
      </c>
      <c r="G25" s="128"/>
      <c r="H25" s="128"/>
    </row>
    <row r="26">
      <c r="A26" s="166" t="s">
        <v>197</v>
      </c>
      <c r="B26" s="167">
        <v>0.12</v>
      </c>
      <c r="C26" s="168">
        <v>0.1025</v>
      </c>
      <c r="D26" s="169">
        <v>63.0</v>
      </c>
      <c r="E26" s="170">
        <v>176.2358982370694</v>
      </c>
      <c r="F26" s="171">
        <f t="shared" ref="F26:F32" si="4">E26/B$13-1</f>
        <v>0.3109863739</v>
      </c>
      <c r="G26" s="172"/>
      <c r="H26" s="128"/>
    </row>
    <row r="27">
      <c r="A27" s="173"/>
      <c r="B27" s="174">
        <v>0.12</v>
      </c>
      <c r="C27" s="175">
        <v>0.105</v>
      </c>
      <c r="D27" s="176">
        <v>73.7</v>
      </c>
      <c r="E27" s="177">
        <v>201.5694726086439</v>
      </c>
      <c r="F27" s="178">
        <f t="shared" si="4"/>
        <v>0.4994381657</v>
      </c>
      <c r="G27" s="128"/>
      <c r="H27" s="128"/>
    </row>
    <row r="28">
      <c r="A28" s="166" t="s">
        <v>198</v>
      </c>
      <c r="B28" s="167">
        <v>0.1225</v>
      </c>
      <c r="C28" s="168">
        <v>0.1025</v>
      </c>
      <c r="D28" s="179">
        <v>55.1</v>
      </c>
      <c r="E28" s="170">
        <v>154.336660237529</v>
      </c>
      <c r="F28" s="171">
        <f t="shared" si="4"/>
        <v>0.1480819775</v>
      </c>
      <c r="G28" s="128"/>
      <c r="H28" s="128"/>
    </row>
    <row r="29">
      <c r="A29" s="180"/>
      <c r="B29" s="181">
        <v>0.1225</v>
      </c>
      <c r="C29" s="182">
        <v>0.105</v>
      </c>
      <c r="D29" s="183">
        <v>63.1</v>
      </c>
      <c r="E29" s="184">
        <v>172.95936636692988</v>
      </c>
      <c r="F29" s="178">
        <f t="shared" si="4"/>
        <v>0.286612857</v>
      </c>
      <c r="G29" s="128"/>
      <c r="H29" s="128"/>
    </row>
    <row r="30">
      <c r="A30" s="166" t="s">
        <v>199</v>
      </c>
      <c r="B30" s="168">
        <v>0.3325</v>
      </c>
      <c r="C30" s="168">
        <v>0.31</v>
      </c>
      <c r="D30" s="179">
        <v>58.2</v>
      </c>
      <c r="E30" s="170">
        <v>150.19331029309546</v>
      </c>
      <c r="F30" s="171">
        <f t="shared" si="4"/>
        <v>0.1172603607</v>
      </c>
      <c r="G30" s="128"/>
      <c r="H30" s="128"/>
    </row>
    <row r="31">
      <c r="A31" s="185"/>
      <c r="B31" s="182">
        <v>0.33</v>
      </c>
      <c r="C31" s="182">
        <v>0.31</v>
      </c>
      <c r="D31" s="183">
        <v>65.5</v>
      </c>
      <c r="E31" s="184">
        <v>168.98687813132287</v>
      </c>
      <c r="F31" s="178">
        <f t="shared" si="4"/>
        <v>0.257062249</v>
      </c>
      <c r="G31" s="128"/>
      <c r="H31" s="128"/>
    </row>
    <row r="32">
      <c r="A32" s="186"/>
      <c r="B32" s="187">
        <v>0.3275</v>
      </c>
      <c r="C32" s="187">
        <v>0.31</v>
      </c>
      <c r="D32" s="188">
        <v>74.9</v>
      </c>
      <c r="E32" s="189">
        <v>193.1500757887111</v>
      </c>
      <c r="F32" s="190">
        <f t="shared" si="4"/>
        <v>0.4368078241</v>
      </c>
      <c r="G32" s="128"/>
      <c r="H32" s="128"/>
    </row>
    <row r="33">
      <c r="A33" s="156"/>
      <c r="B33" s="191"/>
      <c r="C33" s="191"/>
      <c r="D33" s="163" t="s">
        <v>190</v>
      </c>
      <c r="E33" s="192">
        <f>AVERAGE(E26:E32)</f>
        <v>173.9188088</v>
      </c>
      <c r="F33" s="193">
        <f>(E33-B13)/B13</f>
        <v>0.2937499725</v>
      </c>
      <c r="G33" s="172"/>
      <c r="H33" s="128"/>
    </row>
    <row r="34">
      <c r="A34" s="172"/>
      <c r="B34" s="172"/>
      <c r="C34" s="128"/>
      <c r="D34" s="128"/>
      <c r="E34" s="128"/>
      <c r="F34" s="128"/>
      <c r="G34" s="128"/>
      <c r="H34" s="128"/>
    </row>
    <row r="35">
      <c r="A35" s="128"/>
      <c r="B35" s="128"/>
      <c r="C35" s="128"/>
      <c r="D35" s="128"/>
      <c r="E35" s="128"/>
      <c r="F35" s="128"/>
      <c r="G35" s="128"/>
      <c r="H35" s="128"/>
    </row>
    <row r="36">
      <c r="A36" s="194" t="s">
        <v>200</v>
      </c>
      <c r="B36" s="139"/>
      <c r="C36" s="139"/>
      <c r="D36" s="139"/>
      <c r="E36" s="139"/>
      <c r="F36" s="139"/>
      <c r="G36" s="140"/>
      <c r="H36" s="128"/>
    </row>
    <row r="37">
      <c r="A37" s="195" t="s">
        <v>201</v>
      </c>
      <c r="B37" s="196" t="s">
        <v>202</v>
      </c>
      <c r="C37" s="196" t="s">
        <v>203</v>
      </c>
      <c r="D37" s="196" t="s">
        <v>204</v>
      </c>
      <c r="E37" s="196" t="s">
        <v>184</v>
      </c>
      <c r="F37" s="196" t="s">
        <v>205</v>
      </c>
      <c r="G37" s="197" t="s">
        <v>206</v>
      </c>
      <c r="H37" s="128"/>
    </row>
    <row r="38">
      <c r="A38" s="198" t="s">
        <v>154</v>
      </c>
      <c r="B38" s="199">
        <v>38.23</v>
      </c>
      <c r="C38" s="200">
        <v>17.68</v>
      </c>
      <c r="D38" s="200">
        <v>23.6</v>
      </c>
      <c r="E38" s="201">
        <v>30.53</v>
      </c>
      <c r="F38" s="202">
        <v>23.6</v>
      </c>
      <c r="G38" s="203">
        <f t="shared" ref="G38:G40" si="5">(F38/E38)-1</f>
        <v>-0.2269898461</v>
      </c>
      <c r="H38" s="128"/>
    </row>
    <row r="39">
      <c r="A39" s="204" t="s">
        <v>156</v>
      </c>
      <c r="B39" s="205">
        <v>4.93</v>
      </c>
      <c r="C39" s="206">
        <v>2.45</v>
      </c>
      <c r="D39" s="207">
        <v>3.6</v>
      </c>
      <c r="E39" s="206">
        <v>5.15</v>
      </c>
      <c r="F39" s="208">
        <v>3.6</v>
      </c>
      <c r="G39" s="209">
        <f t="shared" si="5"/>
        <v>-0.3009708738</v>
      </c>
      <c r="H39" s="128"/>
    </row>
    <row r="40">
      <c r="A40" s="210" t="s">
        <v>155</v>
      </c>
      <c r="B40" s="211">
        <v>3.186</v>
      </c>
      <c r="C40" s="212">
        <v>1.629</v>
      </c>
      <c r="D40" s="212">
        <v>2.32</v>
      </c>
      <c r="E40" s="212">
        <v>3.186</v>
      </c>
      <c r="F40" s="213">
        <v>2.32</v>
      </c>
      <c r="G40" s="214">
        <f t="shared" si="5"/>
        <v>-0.2718141871</v>
      </c>
      <c r="H40" s="128"/>
    </row>
    <row r="41">
      <c r="A41" s="128"/>
      <c r="B41" s="128"/>
      <c r="C41" s="128"/>
      <c r="D41" s="128"/>
      <c r="E41" s="128"/>
      <c r="F41" s="128"/>
      <c r="G41" s="128"/>
      <c r="H41" s="128"/>
    </row>
    <row r="42">
      <c r="A42" s="128"/>
      <c r="B42" s="128"/>
      <c r="C42" s="128"/>
      <c r="D42" s="128"/>
      <c r="E42" s="128"/>
      <c r="F42" s="128"/>
      <c r="G42" s="128"/>
      <c r="H42" s="128"/>
    </row>
    <row r="43">
      <c r="A43" s="128"/>
      <c r="B43" s="128"/>
      <c r="C43" s="128"/>
      <c r="D43" s="128"/>
      <c r="E43" s="128"/>
      <c r="F43" s="128"/>
      <c r="G43" s="128"/>
      <c r="H43" s="128"/>
    </row>
    <row r="44">
      <c r="A44" s="215" t="s">
        <v>207</v>
      </c>
      <c r="B44" s="216">
        <f>E33</f>
        <v>173.9188088</v>
      </c>
      <c r="C44" s="128"/>
      <c r="D44" s="128"/>
      <c r="E44" s="128"/>
      <c r="F44" s="128"/>
      <c r="G44" s="128"/>
      <c r="H44" s="128"/>
    </row>
    <row r="45">
      <c r="A45" s="217" t="s">
        <v>208</v>
      </c>
      <c r="B45" s="218">
        <f>F38/E38</f>
        <v>0.7730101539</v>
      </c>
      <c r="C45" s="128"/>
      <c r="D45" s="128"/>
      <c r="E45" s="128"/>
      <c r="F45" s="128"/>
      <c r="G45" s="128"/>
      <c r="H45" s="128"/>
    </row>
    <row r="46">
      <c r="A46" s="219" t="s">
        <v>209</v>
      </c>
      <c r="B46" s="220">
        <f>B44*B45</f>
        <v>134.4410052</v>
      </c>
      <c r="C46" s="128"/>
      <c r="D46" s="128"/>
      <c r="E46" s="128"/>
      <c r="F46" s="128"/>
      <c r="G46" s="128"/>
      <c r="H46" s="128"/>
    </row>
    <row r="47">
      <c r="A47" s="221" t="s">
        <v>210</v>
      </c>
      <c r="B47" s="222">
        <f>B46/B13-1</f>
        <v>0.00008186544481</v>
      </c>
      <c r="C47" s="128"/>
      <c r="D47" s="128"/>
      <c r="E47" s="128"/>
      <c r="F47" s="128"/>
      <c r="G47" s="128"/>
      <c r="H47" s="128"/>
    </row>
    <row r="48">
      <c r="H48" s="128"/>
    </row>
    <row r="49">
      <c r="A49" s="215" t="s">
        <v>211</v>
      </c>
      <c r="B49" s="223">
        <v>0.77</v>
      </c>
      <c r="H49" s="128"/>
    </row>
    <row r="50">
      <c r="A50" s="217" t="s">
        <v>212</v>
      </c>
      <c r="B50" s="224">
        <f>(B44*(1-B49))+(B46*B49)</f>
        <v>143.5209</v>
      </c>
      <c r="H50" s="128"/>
    </row>
    <row r="51">
      <c r="A51" s="219" t="s">
        <v>213</v>
      </c>
      <c r="B51" s="225">
        <f>B50/B13-1</f>
        <v>0.06762553008</v>
      </c>
      <c r="C51" s="128"/>
      <c r="D51" s="128"/>
      <c r="E51" s="128"/>
      <c r="F51" s="128"/>
      <c r="G51" s="128"/>
      <c r="H51" s="128"/>
    </row>
    <row r="52">
      <c r="A52" s="226" t="s">
        <v>214</v>
      </c>
      <c r="B52" s="226" t="s">
        <v>215</v>
      </c>
      <c r="C52" s="128"/>
      <c r="D52" s="128"/>
      <c r="E52" s="128"/>
      <c r="F52" s="128"/>
      <c r="G52" s="128"/>
      <c r="H52" s="128"/>
    </row>
    <row r="53">
      <c r="C53" s="128"/>
      <c r="D53" s="128"/>
      <c r="E53" s="128"/>
      <c r="F53" s="128"/>
      <c r="G53" s="128"/>
      <c r="H53" s="128"/>
    </row>
  </sheetData>
  <conditionalFormatting sqref="B51">
    <cfRule type="cellIs" dxfId="0" priority="1" operator="greaterThan">
      <formula>0</formula>
    </cfRule>
  </conditionalFormatting>
  <conditionalFormatting sqref="B51">
    <cfRule type="cellIs" dxfId="1" priority="2" operator="lessThan">
      <formula>0</formula>
    </cfRule>
  </conditionalFormatting>
  <conditionalFormatting sqref="B51">
    <cfRule type="cellIs" dxfId="4" priority="3" operator="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11.25"/>
    <col customWidth="1" min="4" max="5" width="12.38"/>
  </cols>
  <sheetData>
    <row r="1">
      <c r="A1" s="227" t="s">
        <v>216</v>
      </c>
      <c r="B1" s="227" t="s">
        <v>217</v>
      </c>
      <c r="C1" s="227" t="s">
        <v>218</v>
      </c>
      <c r="D1" s="227" t="s">
        <v>219</v>
      </c>
      <c r="E1" s="227" t="s">
        <v>220</v>
      </c>
    </row>
    <row r="2">
      <c r="A2" s="228" t="s">
        <v>221</v>
      </c>
      <c r="B2" s="227">
        <v>14.645</v>
      </c>
      <c r="C2" s="227">
        <v>31.034</v>
      </c>
      <c r="D2" s="229">
        <v>0.8251169079948166</v>
      </c>
      <c r="E2" s="229">
        <v>0.859929618443293</v>
      </c>
    </row>
    <row r="3">
      <c r="A3" s="228" t="s">
        <v>163</v>
      </c>
      <c r="B3" s="227">
        <v>3.104</v>
      </c>
      <c r="C3" s="227">
        <v>5.055</v>
      </c>
      <c r="D3" s="229">
        <v>0.1748830920051834</v>
      </c>
      <c r="E3" s="229">
        <v>0.14007038155670704</v>
      </c>
    </row>
    <row r="8">
      <c r="C8" s="32"/>
      <c r="D8" s="32"/>
    </row>
    <row r="9">
      <c r="C9" s="32"/>
      <c r="D9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2005-10-24T20:24:18Z</dcterms:created>
  <dc:creator>WestR</dc:creator>
</cp:coreProperties>
</file>